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AD887F92-8F45-40F5-8AC2-CC66EA354745}" xr6:coauthVersionLast="47" xr6:coauthVersionMax="47" xr10:uidLastSave="{00000000-0000-0000-0000-000000000000}"/>
  <bookViews>
    <workbookView xWindow="-108" yWindow="-108" windowWidth="23256" windowHeight="12456" xr2:uid="{EC7053FC-38E5-43BA-A7A4-F13C65778367}"/>
  </bookViews>
  <sheets>
    <sheet name="Formatos" sheetId="1" r:id="rId1"/>
    <sheet name="Ejempl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11" i="1"/>
  <c r="R12" i="1"/>
  <c r="R3" i="1"/>
  <c r="Q4" i="1"/>
  <c r="Q5" i="1"/>
  <c r="Q6" i="1"/>
  <c r="Q7" i="1"/>
  <c r="Q8" i="1"/>
  <c r="Q9" i="1"/>
  <c r="R9" i="1" s="1"/>
  <c r="Q11" i="1"/>
  <c r="Q12" i="1"/>
  <c r="Q3" i="1"/>
  <c r="P4" i="1"/>
  <c r="P5" i="1"/>
  <c r="P6" i="1"/>
  <c r="P7" i="1"/>
  <c r="P8" i="1"/>
  <c r="P9" i="1"/>
  <c r="P10" i="1"/>
  <c r="Q10" i="1" s="1"/>
  <c r="R10" i="1" s="1"/>
  <c r="P11" i="1"/>
  <c r="P12" i="1"/>
  <c r="P3" i="1"/>
  <c r="M3" i="1"/>
  <c r="M2" i="2"/>
  <c r="M3" i="2"/>
  <c r="M4" i="2"/>
  <c r="M5" i="2"/>
  <c r="M6" i="2"/>
  <c r="M8" i="2"/>
  <c r="M9" i="2"/>
  <c r="M10" i="2"/>
  <c r="M11" i="2"/>
  <c r="M7" i="2"/>
  <c r="L2" i="2"/>
  <c r="L3" i="2"/>
  <c r="L4" i="2"/>
  <c r="L5" i="2"/>
  <c r="L6" i="2"/>
  <c r="L8" i="2"/>
  <c r="L9" i="2"/>
  <c r="L10" i="2"/>
  <c r="L11" i="2"/>
  <c r="L7" i="2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</calcChain>
</file>

<file path=xl/sharedStrings.xml><?xml version="1.0" encoding="utf-8"?>
<sst xmlns="http://schemas.openxmlformats.org/spreadsheetml/2006/main" count="51" uniqueCount="29">
  <si>
    <t>Nro</t>
  </si>
  <si>
    <t>Alumno</t>
  </si>
  <si>
    <t>Fisica</t>
  </si>
  <si>
    <t>Quimica</t>
  </si>
  <si>
    <t>Matematiicas</t>
  </si>
  <si>
    <t>Ciencias</t>
  </si>
  <si>
    <t>Biologia</t>
  </si>
  <si>
    <t>Cultura</t>
  </si>
  <si>
    <t>Deportes</t>
  </si>
  <si>
    <t>Educacion Fisica</t>
  </si>
  <si>
    <t>Artistica</t>
  </si>
  <si>
    <t>Lenguaje</t>
  </si>
  <si>
    <t>Sumatoria</t>
  </si>
  <si>
    <t>Promedio</t>
  </si>
  <si>
    <t>Insentivo</t>
  </si>
  <si>
    <t>Nota Final</t>
  </si>
  <si>
    <t>Anchundia Hector</t>
  </si>
  <si>
    <t>Arellano Teofilo</t>
  </si>
  <si>
    <t>Barboto Paola</t>
  </si>
  <si>
    <t>Basantes Luis</t>
  </si>
  <si>
    <t>Bustillos David</t>
  </si>
  <si>
    <t>Carrillo Roberto</t>
  </si>
  <si>
    <t>Duque Paul</t>
  </si>
  <si>
    <t>Franco Carlos</t>
  </si>
  <si>
    <t>Gallardo Cristian</t>
  </si>
  <si>
    <t>Hidalgo Fabian</t>
  </si>
  <si>
    <t>Estado</t>
  </si>
  <si>
    <t>Aprobado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</si>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</sst>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8">
    <xf numFmtId="0" fontId="0" fillId="0" borderId="0" xfId="0"/>
    <xf numFmtId="0" fontId="3" fillId="5" borderId="2" xfId="4" applyFont="1" applyBorder="1" applyAlignment="1">
      <alignment horizontal="center" vertical="center"/>
    </xf>
    <xf numFmtId="0" fontId="3" fillId="5" borderId="2" xfId="4" applyFont="1" applyBorder="1" applyAlignment="1">
      <alignment horizontal="center" vertical="center" textRotation="90"/>
    </xf>
    <xf numFmtId="0" fontId="3" fillId="6" borderId="2" xfId="4" applyFont="1" applyFill="1" applyBorder="1" applyAlignment="1">
      <alignment horizontal="center" vertical="center" textRotation="90"/>
    </xf>
    <xf numFmtId="0" fontId="3" fillId="7" borderId="2" xfId="4" applyFont="1" applyFill="1" applyBorder="1" applyAlignment="1">
      <alignment horizontal="center" vertical="center" textRotation="90"/>
    </xf>
    <xf numFmtId="0" fontId="0" fillId="0" borderId="2" xfId="0" applyBorder="1"/>
    <xf numFmtId="2" fontId="4" fillId="0" borderId="2" xfId="0" applyNumberFormat="1" applyFont="1" applyBorder="1"/>
    <xf numFmtId="2" fontId="5" fillId="6" borderId="2" xfId="0" applyNumberFormat="1" applyFont="1" applyFill="1" applyBorder="1"/>
    <xf numFmtId="2" fontId="0" fillId="7" borderId="2" xfId="0" applyNumberFormat="1" applyFill="1" applyBorder="1"/>
    <xf numFmtId="164" fontId="0" fillId="0" borderId="2" xfId="0" applyNumberFormat="1" applyBorder="1"/>
    <xf numFmtId="0" fontId="3" fillId="0" borderId="2" xfId="4" applyFont="1" applyFill="1" applyBorder="1" applyAlignment="1">
      <alignment horizontal="center" vertical="center" textRotation="90"/>
    </xf>
    <xf numFmtId="0" fontId="0" fillId="0" borderId="4" xfId="0" applyBorder="1"/>
    <xf numFmtId="0" fontId="1" fillId="3" borderId="5" xfId="2" applyBorder="1" applyAlignment="1">
      <alignment horizontal="centerContinuous" vertical="center"/>
    </xf>
    <xf numFmtId="0" fontId="1" fillId="3" borderId="6" xfId="2" applyBorder="1" applyAlignment="1">
      <alignment horizontal="centerContinuous"/>
    </xf>
    <xf numFmtId="0" fontId="0" fillId="0" borderId="3" xfId="0" applyBorder="1"/>
    <xf numFmtId="0" fontId="1" fillId="4" borderId="2" xfId="3" applyBorder="1" applyAlignment="1">
      <alignment textRotation="90"/>
    </xf>
    <xf numFmtId="0" fontId="1" fillId="4" borderId="2" xfId="3" applyBorder="1" applyAlignment="1">
      <alignment textRotation="90" wrapText="1"/>
    </xf>
    <xf numFmtId="164" fontId="2" fillId="2" borderId="1" xfId="1" applyNumberFormat="1" applyAlignment="1">
      <alignment horizontal="center" vertical="center" textRotation="90"/>
    </xf>
  </cellXfs>
  <cellStyles count="5">
    <cellStyle name="20% - Énfasis6" xfId="4" builtinId="50"/>
    <cellStyle name="40% - Énfasis2" xfId="2" builtinId="35"/>
    <cellStyle name="40% - Énfasis4" xfId="3" builtinId="43"/>
    <cellStyle name="Cálculo" xfId="1" builtinId="22"/>
    <cellStyle name="Normal" xfId="0" builtinId="0"/>
  </cellStyles>
  <dxfs count="7"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strike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  <strike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O3" lockText="1" noThreeD="1"/>
</file>

<file path=xl/ctrlProps/ctrlProp2.xml><?xml version="1.0" encoding="utf-8"?>
<formControlPr xmlns="http://schemas.microsoft.com/office/spreadsheetml/2009/9/main" objectType="CheckBox" checked="Checked" fmlaLink="O4" lockText="1" noThreeD="1"/>
</file>

<file path=xl/ctrlProps/ctrlProp3.xml><?xml version="1.0" encoding="utf-8"?>
<formControlPr xmlns="http://schemas.microsoft.com/office/spreadsheetml/2009/9/main" objectType="CheckBox" fmlaLink="O5" lockText="1" noThreeD="1"/>
</file>

<file path=xl/ctrlProps/ctrlProp4.xml><?xml version="1.0" encoding="utf-8"?>
<formControlPr xmlns="http://schemas.microsoft.com/office/spreadsheetml/2009/9/main" objectType="CheckBox" checked="Checked" fmlaLink="O6" lockText="1" noThreeD="1"/>
</file>

<file path=xl/ctrlProps/ctrlProp5.xml><?xml version="1.0" encoding="utf-8"?>
<formControlPr xmlns="http://schemas.microsoft.com/office/spreadsheetml/2009/9/main" objectType="CheckBox" checked="Checked" fmlaLink="O7" lockText="1" noThreeD="1"/>
</file>

<file path=xl/ctrlProps/ctrlProp6.xml><?xml version="1.0" encoding="utf-8"?>
<formControlPr xmlns="http://schemas.microsoft.com/office/spreadsheetml/2009/9/main" objectType="CheckBox" fmlaLink="$O$8" lockText="1" noThreeD="1"/>
</file>

<file path=xl/ctrlProps/ctrlProp7.xml><?xml version="1.0" encoding="utf-8"?>
<formControlPr xmlns="http://schemas.microsoft.com/office/spreadsheetml/2009/9/main" objectType="CheckBox" checked="Checked" fmlaLink="$O$9" lockText="1" noThreeD="1"/>
</file>

<file path=xl/ctrlProps/ctrlProp8.xml><?xml version="1.0" encoding="utf-8"?>
<formControlPr xmlns="http://schemas.microsoft.com/office/spreadsheetml/2009/9/main" objectType="CheckBox" fmlaLink="$O$10" lockText="1" noThreeD="1"/>
</file>

<file path=xl/ctrlProps/ctrlProp9.xml><?xml version="1.0" encoding="utf-8"?>
<formControlPr xmlns="http://schemas.microsoft.com/office/spreadsheetml/2009/9/main" objectType="CheckBox" fmlaLink="$O$11" lockText="1" noThreeD="1"/>
</file>

<file path=xl/ctrlProps/ctrlProp10.xml><?xml version="1.0" encoding="utf-8"?>
<formControlPr xmlns="http://schemas.microsoft.com/office/spreadsheetml/2009/9/main" objectType="CheckBox" fmlaLink="$O$1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83820</xdr:colOff>
          <xdr:row>1</xdr:row>
          <xdr:rowOff>967740</xdr:rowOff>
        </xdr:from>
        <xdr:to>
          <xdr:col>14</xdr:col>
          <xdr:colOff>342900</xdr:colOff>
          <xdr:row>2</xdr:row>
          <xdr:rowOff>167640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83820</xdr:colOff>
          <xdr:row>2</xdr:row>
          <xdr:rowOff>167640</xdr:rowOff>
        </xdr:from>
        <xdr:to>
          <xdr:col>14</xdr:col>
          <xdr:colOff>304800</xdr:colOff>
          <xdr:row>4</xdr:row>
          <xdr:rowOff>22860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83820</xdr:colOff>
          <xdr:row>3</xdr:row>
          <xdr:rowOff>167640</xdr:rowOff>
        </xdr:from>
        <xdr:to>
          <xdr:col>14</xdr:col>
          <xdr:colOff>304800</xdr:colOff>
          <xdr:row>5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83820</xdr:colOff>
          <xdr:row>4</xdr:row>
          <xdr:rowOff>160020</xdr:rowOff>
        </xdr:from>
        <xdr:to>
          <xdr:col>14</xdr:col>
          <xdr:colOff>304800</xdr:colOff>
          <xdr:row>6</xdr:row>
          <xdr:rowOff>22860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83820</xdr:colOff>
          <xdr:row>5</xdr:row>
          <xdr:rowOff>167640</xdr:rowOff>
        </xdr:from>
        <xdr:to>
          <xdr:col>14</xdr:col>
          <xdr:colOff>304800</xdr:colOff>
          <xdr:row>7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7</xdr:row>
          <xdr:rowOff>0</xdr:rowOff>
        </xdr:from>
        <xdr:to>
          <xdr:col>14</xdr:col>
          <xdr:colOff>289560</xdr:colOff>
          <xdr:row>8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91440</xdr:colOff>
          <xdr:row>7</xdr:row>
          <xdr:rowOff>167640</xdr:rowOff>
        </xdr:from>
        <xdr:to>
          <xdr:col>14</xdr:col>
          <xdr:colOff>312420</xdr:colOff>
          <xdr:row>9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91440</xdr:colOff>
          <xdr:row>8</xdr:row>
          <xdr:rowOff>152400</xdr:rowOff>
        </xdr:from>
        <xdr:to>
          <xdr:col>14</xdr:col>
          <xdr:colOff>312420</xdr:colOff>
          <xdr:row>10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91440</xdr:colOff>
          <xdr:row>9</xdr:row>
          <xdr:rowOff>167640</xdr:rowOff>
        </xdr:from>
        <xdr:to>
          <xdr:col>14</xdr:col>
          <xdr:colOff>312420</xdr:colOff>
          <xdr:row>11</xdr:row>
          <xdr:rowOff>38100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91440</xdr:colOff>
          <xdr:row>10</xdr:row>
          <xdr:rowOff>167640</xdr:rowOff>
        </xdr:from>
        <xdr:to>
          <xdr:col>14</xdr:col>
          <xdr:colOff>312420</xdr:colOff>
          <xdr:row>12</xdr:row>
          <xdr:rowOff>30480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E33-4891-4570-8CC8-609544D65616}">
  <dimension ref="A1:R12"/>
  <sheetViews>
    <sheetView tabSelected="1" zoomScale="140" zoomScaleNormal="140" workbookViewId="0">
      <selection activeCell="U5" sqref="U5"/>
    </sheetView>
  </sheetViews>
  <sheetFormatPr baseColWidth="10" defaultRowHeight="14.4" x14ac:dyDescent="0.3"/>
  <cols>
    <col min="1" max="1" width="5.6640625" customWidth="1"/>
    <col min="2" max="2" width="16.21875" bestFit="1" customWidth="1"/>
    <col min="3" max="3" width="4.5546875" customWidth="1"/>
    <col min="4" max="12" width="4.5546875" bestFit="1" customWidth="1"/>
    <col min="13" max="13" width="5.88671875" bestFit="1" customWidth="1"/>
    <col min="14" max="14" width="5.44140625" bestFit="1" customWidth="1"/>
    <col min="15" max="15" width="5.5546875" customWidth="1"/>
    <col min="16" max="16" width="13.6640625" customWidth="1"/>
    <col min="17" max="17" width="12.109375" customWidth="1"/>
    <col min="18" max="18" width="4.6640625" customWidth="1"/>
    <col min="19" max="19" width="5.77734375" customWidth="1"/>
  </cols>
  <sheetData>
    <row r="1" spans="1:18" ht="18.75" customHeight="1" x14ac:dyDescent="0.3">
      <c r="B1" t="s">
        <v>27</v>
      </c>
      <c r="C1">
        <v>70</v>
      </c>
    </row>
    <row r="2" spans="1:18" ht="78.599999999999994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4" t="s">
        <v>13</v>
      </c>
      <c r="O2" s="17" t="s">
        <v>14</v>
      </c>
      <c r="P2" s="10" t="s">
        <v>15</v>
      </c>
      <c r="Q2" s="12" t="s">
        <v>26</v>
      </c>
      <c r="R2" s="13"/>
    </row>
    <row r="3" spans="1:18" x14ac:dyDescent="0.3">
      <c r="A3" s="5">
        <v>1</v>
      </c>
      <c r="B3" s="5" t="s">
        <v>16</v>
      </c>
      <c r="C3" s="6">
        <v>8</v>
      </c>
      <c r="D3" s="6">
        <v>10</v>
      </c>
      <c r="E3" s="6">
        <v>7</v>
      </c>
      <c r="F3" s="6">
        <v>6</v>
      </c>
      <c r="G3" s="6">
        <v>6</v>
      </c>
      <c r="H3" s="6">
        <v>8</v>
      </c>
      <c r="I3" s="6">
        <v>3</v>
      </c>
      <c r="J3" s="6">
        <v>10</v>
      </c>
      <c r="K3" s="6">
        <v>8</v>
      </c>
      <c r="L3" s="6">
        <v>4</v>
      </c>
      <c r="M3" s="7">
        <f>SUM(C3:L3)</f>
        <v>70</v>
      </c>
      <c r="N3" s="8">
        <f>AVERAGE(C3:L3)</f>
        <v>7</v>
      </c>
      <c r="O3" s="9" t="b">
        <v>1</v>
      </c>
      <c r="P3" s="11">
        <f>IF(O3=TRUE,M3+1,M3)</f>
        <v>71</v>
      </c>
      <c r="Q3" s="11" t="str">
        <f>IF(P3&gt;=70,"APROBADO","REPROBADO")</f>
        <v>APROBADO</v>
      </c>
      <c r="R3" s="14">
        <f>IF(Q3="APROBADO",1,0)</f>
        <v>1</v>
      </c>
    </row>
    <row r="4" spans="1:18" x14ac:dyDescent="0.3">
      <c r="A4" s="5">
        <v>2</v>
      </c>
      <c r="B4" s="5" t="s">
        <v>17</v>
      </c>
      <c r="C4" s="6">
        <v>9</v>
      </c>
      <c r="D4" s="6">
        <v>8</v>
      </c>
      <c r="E4" s="6">
        <v>4</v>
      </c>
      <c r="F4" s="6">
        <v>8</v>
      </c>
      <c r="G4" s="6">
        <v>8</v>
      </c>
      <c r="H4" s="6">
        <v>5</v>
      </c>
      <c r="I4" s="6">
        <v>10</v>
      </c>
      <c r="J4" s="6">
        <v>10</v>
      </c>
      <c r="K4" s="6">
        <v>8</v>
      </c>
      <c r="L4" s="6">
        <v>5</v>
      </c>
      <c r="M4" s="7">
        <f t="shared" ref="M4:M12" si="0">SUM(C4:L4)</f>
        <v>75</v>
      </c>
      <c r="N4" s="8">
        <f t="shared" ref="N4:N12" si="1">AVERAGE(C4:L4)</f>
        <v>7.5</v>
      </c>
      <c r="O4" s="9" t="b">
        <v>1</v>
      </c>
      <c r="P4" s="11">
        <f t="shared" ref="P4:P12" si="2">IF(O4=TRUE,M4+1,M4)</f>
        <v>76</v>
      </c>
      <c r="Q4" s="11" t="str">
        <f t="shared" ref="Q4:Q12" si="3">IF(P4&gt;=70,"APROBADO","REPROBADO")</f>
        <v>APROBADO</v>
      </c>
      <c r="R4" s="14">
        <f t="shared" ref="R4:R12" si="4">IF(Q4="APROBADO",1,0)</f>
        <v>1</v>
      </c>
    </row>
    <row r="5" spans="1:18" x14ac:dyDescent="0.3">
      <c r="A5" s="5">
        <v>3</v>
      </c>
      <c r="B5" s="5" t="s">
        <v>18</v>
      </c>
      <c r="C5" s="6">
        <v>0</v>
      </c>
      <c r="D5" s="6">
        <v>0</v>
      </c>
      <c r="E5" s="6">
        <v>5</v>
      </c>
      <c r="F5" s="6">
        <v>0</v>
      </c>
      <c r="G5" s="6">
        <v>0</v>
      </c>
      <c r="H5" s="6">
        <v>0</v>
      </c>
      <c r="I5" s="6">
        <v>5</v>
      </c>
      <c r="J5" s="6">
        <v>7</v>
      </c>
      <c r="K5" s="6">
        <v>10</v>
      </c>
      <c r="L5" s="6">
        <v>2</v>
      </c>
      <c r="M5" s="7">
        <f t="shared" si="0"/>
        <v>29</v>
      </c>
      <c r="N5" s="8">
        <f t="shared" si="1"/>
        <v>2.9</v>
      </c>
      <c r="O5" s="9" t="b">
        <v>0</v>
      </c>
      <c r="P5" s="11">
        <f t="shared" si="2"/>
        <v>29</v>
      </c>
      <c r="Q5" s="11" t="str">
        <f t="shared" si="3"/>
        <v>REPROBADO</v>
      </c>
      <c r="R5" s="14">
        <f t="shared" si="4"/>
        <v>0</v>
      </c>
    </row>
    <row r="6" spans="1:18" x14ac:dyDescent="0.3">
      <c r="A6" s="5">
        <v>4</v>
      </c>
      <c r="B6" s="5" t="s">
        <v>19</v>
      </c>
      <c r="C6" s="6">
        <v>2</v>
      </c>
      <c r="D6" s="6">
        <v>7</v>
      </c>
      <c r="E6" s="6">
        <v>10</v>
      </c>
      <c r="F6" s="6">
        <v>5</v>
      </c>
      <c r="G6" s="6">
        <v>9</v>
      </c>
      <c r="H6" s="6">
        <v>7</v>
      </c>
      <c r="I6" s="6">
        <v>8</v>
      </c>
      <c r="J6" s="6">
        <v>8</v>
      </c>
      <c r="K6" s="6">
        <v>9</v>
      </c>
      <c r="L6" s="6">
        <v>7</v>
      </c>
      <c r="M6" s="7">
        <f t="shared" si="0"/>
        <v>72</v>
      </c>
      <c r="N6" s="8">
        <f t="shared" si="1"/>
        <v>7.2</v>
      </c>
      <c r="O6" s="9" t="b">
        <v>1</v>
      </c>
      <c r="P6" s="11">
        <f t="shared" si="2"/>
        <v>73</v>
      </c>
      <c r="Q6" s="11" t="str">
        <f t="shared" si="3"/>
        <v>APROBADO</v>
      </c>
      <c r="R6" s="14">
        <f t="shared" si="4"/>
        <v>1</v>
      </c>
    </row>
    <row r="7" spans="1:18" x14ac:dyDescent="0.3">
      <c r="A7" s="5">
        <v>5</v>
      </c>
      <c r="B7" s="5" t="s">
        <v>20</v>
      </c>
      <c r="C7" s="6">
        <v>8</v>
      </c>
      <c r="D7" s="6">
        <v>9</v>
      </c>
      <c r="E7" s="6">
        <v>6</v>
      </c>
      <c r="F7" s="6">
        <v>8</v>
      </c>
      <c r="G7" s="6">
        <v>8</v>
      </c>
      <c r="H7" s="6">
        <v>8</v>
      </c>
      <c r="I7" s="6">
        <v>5</v>
      </c>
      <c r="J7" s="6">
        <v>5</v>
      </c>
      <c r="K7" s="6">
        <v>8</v>
      </c>
      <c r="L7" s="6">
        <v>8</v>
      </c>
      <c r="M7" s="7">
        <f t="shared" si="0"/>
        <v>73</v>
      </c>
      <c r="N7" s="8">
        <f t="shared" si="1"/>
        <v>7.3</v>
      </c>
      <c r="O7" s="9" t="b">
        <v>1</v>
      </c>
      <c r="P7" s="11">
        <f t="shared" si="2"/>
        <v>74</v>
      </c>
      <c r="Q7" s="11" t="str">
        <f t="shared" si="3"/>
        <v>APROBADO</v>
      </c>
      <c r="R7" s="14">
        <f t="shared" si="4"/>
        <v>1</v>
      </c>
    </row>
    <row r="8" spans="1:18" x14ac:dyDescent="0.3">
      <c r="A8" s="5">
        <v>6</v>
      </c>
      <c r="B8" s="5" t="s">
        <v>21</v>
      </c>
      <c r="C8" s="6">
        <v>3</v>
      </c>
      <c r="D8" s="6">
        <v>4</v>
      </c>
      <c r="E8" s="6">
        <v>3</v>
      </c>
      <c r="F8" s="6">
        <v>9</v>
      </c>
      <c r="G8" s="6">
        <v>9</v>
      </c>
      <c r="H8" s="6">
        <v>7</v>
      </c>
      <c r="I8" s="6">
        <v>2</v>
      </c>
      <c r="J8" s="6">
        <v>4</v>
      </c>
      <c r="K8" s="6">
        <v>4</v>
      </c>
      <c r="L8" s="6">
        <v>9</v>
      </c>
      <c r="M8" s="7">
        <f t="shared" si="0"/>
        <v>54</v>
      </c>
      <c r="N8" s="8">
        <f t="shared" si="1"/>
        <v>5.4</v>
      </c>
      <c r="O8" s="9" t="b">
        <v>0</v>
      </c>
      <c r="P8" s="11">
        <f t="shared" si="2"/>
        <v>54</v>
      </c>
      <c r="Q8" s="11" t="str">
        <f t="shared" si="3"/>
        <v>REPROBADO</v>
      </c>
      <c r="R8" s="14">
        <f t="shared" si="4"/>
        <v>0</v>
      </c>
    </row>
    <row r="9" spans="1:18" x14ac:dyDescent="0.3">
      <c r="A9" s="5">
        <v>7</v>
      </c>
      <c r="B9" s="5" t="s">
        <v>22</v>
      </c>
      <c r="C9" s="6">
        <v>2</v>
      </c>
      <c r="D9" s="6">
        <v>8</v>
      </c>
      <c r="E9" s="6">
        <v>6</v>
      </c>
      <c r="F9" s="6">
        <v>5</v>
      </c>
      <c r="G9" s="6">
        <v>10</v>
      </c>
      <c r="H9" s="6">
        <v>9</v>
      </c>
      <c r="I9" s="6">
        <v>6</v>
      </c>
      <c r="J9" s="6">
        <v>7</v>
      </c>
      <c r="K9" s="6">
        <v>7</v>
      </c>
      <c r="L9" s="6">
        <v>9</v>
      </c>
      <c r="M9" s="7">
        <f t="shared" si="0"/>
        <v>69</v>
      </c>
      <c r="N9" s="8">
        <f t="shared" si="1"/>
        <v>6.9</v>
      </c>
      <c r="O9" s="9" t="b">
        <v>1</v>
      </c>
      <c r="P9" s="11">
        <f t="shared" si="2"/>
        <v>70</v>
      </c>
      <c r="Q9" s="11" t="str">
        <f t="shared" si="3"/>
        <v>APROBADO</v>
      </c>
      <c r="R9" s="14">
        <f t="shared" si="4"/>
        <v>1</v>
      </c>
    </row>
    <row r="10" spans="1:18" x14ac:dyDescent="0.3">
      <c r="A10" s="5">
        <v>8</v>
      </c>
      <c r="B10" s="5" t="s">
        <v>23</v>
      </c>
      <c r="C10" s="6">
        <v>10</v>
      </c>
      <c r="D10" s="6">
        <v>10</v>
      </c>
      <c r="E10" s="6">
        <v>10</v>
      </c>
      <c r="F10" s="6">
        <v>10</v>
      </c>
      <c r="G10" s="6">
        <v>10</v>
      </c>
      <c r="H10" s="6">
        <v>10</v>
      </c>
      <c r="I10" s="6">
        <v>10</v>
      </c>
      <c r="J10" s="6">
        <v>10</v>
      </c>
      <c r="K10" s="6">
        <v>9</v>
      </c>
      <c r="L10" s="6">
        <v>9</v>
      </c>
      <c r="M10" s="7">
        <f t="shared" si="0"/>
        <v>98</v>
      </c>
      <c r="N10" s="8">
        <f t="shared" si="1"/>
        <v>9.8000000000000007</v>
      </c>
      <c r="O10" s="9" t="b">
        <v>0</v>
      </c>
      <c r="P10" s="11">
        <f t="shared" si="2"/>
        <v>98</v>
      </c>
      <c r="Q10" s="11" t="str">
        <f t="shared" si="3"/>
        <v>APROBADO</v>
      </c>
      <c r="R10" s="14">
        <f t="shared" si="4"/>
        <v>1</v>
      </c>
    </row>
    <row r="11" spans="1:18" x14ac:dyDescent="0.3">
      <c r="A11" s="5">
        <v>9</v>
      </c>
      <c r="B11" s="5" t="s">
        <v>24</v>
      </c>
      <c r="C11" s="6">
        <v>6</v>
      </c>
      <c r="D11" s="6">
        <v>8</v>
      </c>
      <c r="E11" s="6">
        <v>9</v>
      </c>
      <c r="F11" s="6">
        <v>8</v>
      </c>
      <c r="G11" s="6">
        <v>9</v>
      </c>
      <c r="H11" s="6">
        <v>9</v>
      </c>
      <c r="I11" s="6">
        <v>10</v>
      </c>
      <c r="J11" s="6">
        <v>8</v>
      </c>
      <c r="K11" s="6">
        <v>2</v>
      </c>
      <c r="L11" s="6">
        <v>3</v>
      </c>
      <c r="M11" s="7">
        <f t="shared" si="0"/>
        <v>72</v>
      </c>
      <c r="N11" s="8">
        <f t="shared" si="1"/>
        <v>7.2</v>
      </c>
      <c r="O11" s="9" t="b">
        <v>0</v>
      </c>
      <c r="P11" s="11">
        <f t="shared" si="2"/>
        <v>72</v>
      </c>
      <c r="Q11" s="11" t="str">
        <f t="shared" si="3"/>
        <v>APROBADO</v>
      </c>
      <c r="R11" s="14">
        <f t="shared" si="4"/>
        <v>1</v>
      </c>
    </row>
    <row r="12" spans="1:18" x14ac:dyDescent="0.3">
      <c r="A12" s="5">
        <v>10</v>
      </c>
      <c r="B12" s="5" t="s">
        <v>25</v>
      </c>
      <c r="C12" s="6">
        <v>5</v>
      </c>
      <c r="D12" s="6">
        <v>10</v>
      </c>
      <c r="E12" s="6">
        <v>2</v>
      </c>
      <c r="F12" s="6">
        <v>5</v>
      </c>
      <c r="G12" s="6">
        <v>7</v>
      </c>
      <c r="H12" s="6">
        <v>8</v>
      </c>
      <c r="I12" s="6">
        <v>6</v>
      </c>
      <c r="J12" s="6">
        <v>8</v>
      </c>
      <c r="K12" s="6">
        <v>7</v>
      </c>
      <c r="L12" s="6">
        <v>5</v>
      </c>
      <c r="M12" s="7">
        <f t="shared" si="0"/>
        <v>63</v>
      </c>
      <c r="N12" s="8">
        <f t="shared" si="1"/>
        <v>6.3</v>
      </c>
      <c r="O12" s="9" t="b">
        <v>0</v>
      </c>
      <c r="P12" s="11">
        <f t="shared" si="2"/>
        <v>63</v>
      </c>
      <c r="Q12" s="11" t="str">
        <f t="shared" si="3"/>
        <v>REPROBADO</v>
      </c>
      <c r="R12" s="14">
        <f t="shared" si="4"/>
        <v>0</v>
      </c>
    </row>
  </sheetData>
  <conditionalFormatting sqref="A3:N12">
    <cfRule type="expression" dxfId="5" priority="6">
      <formula>$P3&gt;=$C$1</formula>
    </cfRule>
    <cfRule type="expression" dxfId="4" priority="5">
      <formula>$P3&lt;$C$1</formula>
    </cfRule>
  </conditionalFormatting>
  <conditionalFormatting sqref="P3:P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{430F9A45-1712-4F46-8A3F-26D885E057CD}</x14:id>
        </ext>
      </extLst>
    </cfRule>
    <cfRule type="dataBar" priority="3">
      <dataBar>
        <cfvo type="num" val="0"/>
        <cfvo type="num" val="100"/>
        <color theme="2" tint="-0.249977111117893"/>
      </dataBar>
      <extLst>
        <ext xmlns:x14="http://schemas.microsoft.com/office/spreadsheetml/2009/9/main" uri="{B025F937-C7B1-47D3-B67F-A62EFF666E3E}">
          <x14:id>{0209F033-06D1-4597-BCD7-C24E9331D753}</x14:id>
        </ext>
      </extLst>
    </cfRule>
  </conditionalFormatting>
  <conditionalFormatting sqref="Q3:Q12">
    <cfRule type="containsText" dxfId="3" priority="2" operator="containsText" text="APROBADO">
      <formula>NOT(ISERROR(SEARCH("APROBADO",Q3)))</formula>
    </cfRule>
  </conditionalFormatting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14</xdr:col>
                    <xdr:colOff>83820</xdr:colOff>
                    <xdr:row>1</xdr:row>
                    <xdr:rowOff>967740</xdr:rowOff>
                  </from>
                  <to>
                    <xdr:col>14</xdr:col>
                    <xdr:colOff>342900</xdr:colOff>
                    <xdr:row>2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83820</xdr:colOff>
                    <xdr:row>2</xdr:row>
                    <xdr:rowOff>167640</xdr:rowOff>
                  </from>
                  <to>
                    <xdr:col>14</xdr:col>
                    <xdr:colOff>304800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14</xdr:col>
                    <xdr:colOff>83820</xdr:colOff>
                    <xdr:row>3</xdr:row>
                    <xdr:rowOff>167640</xdr:rowOff>
                  </from>
                  <to>
                    <xdr:col>14</xdr:col>
                    <xdr:colOff>304800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14</xdr:col>
                    <xdr:colOff>83820</xdr:colOff>
                    <xdr:row>4</xdr:row>
                    <xdr:rowOff>160020</xdr:rowOff>
                  </from>
                  <to>
                    <xdr:col>14</xdr:col>
                    <xdr:colOff>304800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14</xdr:col>
                    <xdr:colOff>83820</xdr:colOff>
                    <xdr:row>5</xdr:row>
                    <xdr:rowOff>167640</xdr:rowOff>
                  </from>
                  <to>
                    <xdr:col>14</xdr:col>
                    <xdr:colOff>304800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14</xdr:col>
                    <xdr:colOff>76200</xdr:colOff>
                    <xdr:row>7</xdr:row>
                    <xdr:rowOff>0</xdr:rowOff>
                  </from>
                  <to>
                    <xdr:col>14</xdr:col>
                    <xdr:colOff>289560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14</xdr:col>
                    <xdr:colOff>91440</xdr:colOff>
                    <xdr:row>7</xdr:row>
                    <xdr:rowOff>167640</xdr:rowOff>
                  </from>
                  <to>
                    <xdr:col>14</xdr:col>
                    <xdr:colOff>312420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14</xdr:col>
                    <xdr:colOff>91440</xdr:colOff>
                    <xdr:row>8</xdr:row>
                    <xdr:rowOff>152400</xdr:rowOff>
                  </from>
                  <to>
                    <xdr:col>14</xdr:col>
                    <xdr:colOff>312420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14</xdr:col>
                    <xdr:colOff>91440</xdr:colOff>
                    <xdr:row>9</xdr:row>
                    <xdr:rowOff>167640</xdr:rowOff>
                  </from>
                  <to>
                    <xdr:col>14</xdr:col>
                    <xdr:colOff>312420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14</xdr:col>
                    <xdr:colOff>91440</xdr:colOff>
                    <xdr:row>10</xdr:row>
                    <xdr:rowOff>167640</xdr:rowOff>
                  </from>
                  <to>
                    <xdr:col>14</xdr:col>
                    <xdr:colOff>312420</xdr:colOff>
                    <xdr:row>12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0F9A45-1712-4F46-8A3F-26D885E057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209F033-06D1-4597-BCD7-C24E9331D75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P3:P12</xm:sqref>
        </x14:conditionalFormatting>
        <x14:conditionalFormatting xmlns:xm="http://schemas.microsoft.com/office/excel/2006/main">
          <x14:cfRule type="iconSet" priority="1" id="{F486FA54-A2AF-4BA7-B047-FDAC88DCE2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R3:R12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A350-75AF-4CC4-B965-CC39CEB7BD2C}">
  <dimension ref="A1:M11"/>
  <sheetViews>
    <sheetView zoomScale="150" zoomScaleNormal="150" workbookViewId="0">
      <selection activeCell="J7" sqref="J6:J7"/>
    </sheetView>
  </sheetViews>
  <sheetFormatPr baseColWidth="10" defaultRowHeight="14.4" x14ac:dyDescent="0.3"/>
  <cols>
    <col min="1" max="1" width="15.6640625" bestFit="1" customWidth="1"/>
    <col min="2" max="13" width="5.109375" customWidth="1"/>
  </cols>
  <sheetData>
    <row r="1" spans="1:13" ht="62.1" customHeight="1" x14ac:dyDescent="0.3">
      <c r="A1" s="15" t="s">
        <v>1</v>
      </c>
      <c r="B1" s="15" t="s">
        <v>2</v>
      </c>
      <c r="C1" s="15" t="s">
        <v>3</v>
      </c>
      <c r="D1" s="15" t="s">
        <v>28</v>
      </c>
      <c r="E1" s="15" t="s">
        <v>5</v>
      </c>
      <c r="F1" s="15" t="s">
        <v>6</v>
      </c>
      <c r="G1" s="15" t="s">
        <v>7</v>
      </c>
      <c r="H1" s="15" t="s">
        <v>8</v>
      </c>
      <c r="I1" s="16" t="s">
        <v>9</v>
      </c>
      <c r="J1" s="15" t="s">
        <v>10</v>
      </c>
      <c r="K1" s="15" t="s">
        <v>11</v>
      </c>
      <c r="L1" s="15" t="s">
        <v>13</v>
      </c>
      <c r="M1" s="15" t="s">
        <v>15</v>
      </c>
    </row>
    <row r="2" spans="1:13" x14ac:dyDescent="0.3">
      <c r="A2" s="5" t="s">
        <v>17</v>
      </c>
      <c r="B2" s="5">
        <v>4</v>
      </c>
      <c r="C2" s="5">
        <v>8</v>
      </c>
      <c r="D2" s="5">
        <v>4</v>
      </c>
      <c r="E2" s="5">
        <v>8</v>
      </c>
      <c r="F2" s="5">
        <v>8</v>
      </c>
      <c r="G2" s="5">
        <v>8</v>
      </c>
      <c r="H2" s="5">
        <v>10</v>
      </c>
      <c r="I2" s="5">
        <v>10</v>
      </c>
      <c r="J2" s="5">
        <v>8</v>
      </c>
      <c r="K2" s="5">
        <v>5</v>
      </c>
      <c r="L2" s="5">
        <f t="shared" ref="L2:L11" si="0">AVERAGE(B2:K2)</f>
        <v>7.3</v>
      </c>
      <c r="M2" s="5">
        <f t="shared" ref="M2:M11" si="1">SUM(B2:K2)</f>
        <v>73</v>
      </c>
    </row>
    <row r="3" spans="1:13" x14ac:dyDescent="0.3">
      <c r="A3" s="5" t="s">
        <v>19</v>
      </c>
      <c r="B3" s="5">
        <v>9</v>
      </c>
      <c r="C3" s="5">
        <v>7</v>
      </c>
      <c r="D3" s="5">
        <v>10</v>
      </c>
      <c r="E3" s="5">
        <v>5</v>
      </c>
      <c r="F3" s="5">
        <v>9</v>
      </c>
      <c r="G3" s="5">
        <v>7</v>
      </c>
      <c r="H3" s="5">
        <v>8</v>
      </c>
      <c r="I3" s="5">
        <v>8</v>
      </c>
      <c r="J3" s="5">
        <v>9</v>
      </c>
      <c r="K3" s="5">
        <v>7</v>
      </c>
      <c r="L3" s="5">
        <f t="shared" si="0"/>
        <v>7.9</v>
      </c>
      <c r="M3" s="5">
        <f t="shared" si="1"/>
        <v>79</v>
      </c>
    </row>
    <row r="4" spans="1:13" x14ac:dyDescent="0.3">
      <c r="A4" s="5" t="s">
        <v>20</v>
      </c>
      <c r="B4" s="5">
        <v>8</v>
      </c>
      <c r="C4" s="5">
        <v>9</v>
      </c>
      <c r="D4" s="5">
        <v>6</v>
      </c>
      <c r="E4" s="5">
        <v>8</v>
      </c>
      <c r="F4" s="5">
        <v>8</v>
      </c>
      <c r="G4" s="5">
        <v>8</v>
      </c>
      <c r="H4" s="5">
        <v>9</v>
      </c>
      <c r="I4" s="5">
        <v>9</v>
      </c>
      <c r="J4" s="5">
        <v>8</v>
      </c>
      <c r="K4" s="5">
        <v>8</v>
      </c>
      <c r="L4" s="5">
        <f t="shared" si="0"/>
        <v>8.1</v>
      </c>
      <c r="M4" s="5">
        <f t="shared" si="1"/>
        <v>81</v>
      </c>
    </row>
    <row r="5" spans="1:13" x14ac:dyDescent="0.3">
      <c r="A5" s="5" t="s">
        <v>23</v>
      </c>
      <c r="B5" s="5">
        <v>10</v>
      </c>
      <c r="C5" s="5">
        <v>10</v>
      </c>
      <c r="D5" s="5">
        <v>10</v>
      </c>
      <c r="E5" s="5">
        <v>10</v>
      </c>
      <c r="F5" s="5">
        <v>10</v>
      </c>
      <c r="G5" s="5">
        <v>10</v>
      </c>
      <c r="H5" s="5">
        <v>10</v>
      </c>
      <c r="I5" s="5">
        <v>10</v>
      </c>
      <c r="J5" s="5">
        <v>9</v>
      </c>
      <c r="K5" s="5">
        <v>9</v>
      </c>
      <c r="L5" s="5">
        <f t="shared" si="0"/>
        <v>9.8000000000000007</v>
      </c>
      <c r="M5" s="5">
        <f t="shared" si="1"/>
        <v>98</v>
      </c>
    </row>
    <row r="6" spans="1:13" x14ac:dyDescent="0.3">
      <c r="A6" s="5" t="s">
        <v>24</v>
      </c>
      <c r="B6" s="5">
        <v>6</v>
      </c>
      <c r="C6" s="5">
        <v>8</v>
      </c>
      <c r="D6" s="5">
        <v>9</v>
      </c>
      <c r="E6" s="5">
        <v>8</v>
      </c>
      <c r="F6" s="5">
        <v>9</v>
      </c>
      <c r="G6" s="5">
        <v>9</v>
      </c>
      <c r="H6" s="5">
        <v>10</v>
      </c>
      <c r="I6" s="5">
        <v>8</v>
      </c>
      <c r="J6" s="5">
        <v>2</v>
      </c>
      <c r="K6" s="5">
        <v>3</v>
      </c>
      <c r="L6" s="5">
        <f t="shared" si="0"/>
        <v>7.2</v>
      </c>
      <c r="M6" s="5">
        <f t="shared" si="1"/>
        <v>72</v>
      </c>
    </row>
    <row r="7" spans="1:13" x14ac:dyDescent="0.3">
      <c r="A7" s="5" t="s">
        <v>16</v>
      </c>
      <c r="B7" s="5">
        <v>8</v>
      </c>
      <c r="C7" s="5">
        <v>10</v>
      </c>
      <c r="D7" s="5">
        <v>7</v>
      </c>
      <c r="E7" s="5">
        <v>6</v>
      </c>
      <c r="F7" s="5">
        <v>6</v>
      </c>
      <c r="G7" s="5">
        <v>8</v>
      </c>
      <c r="H7" s="5">
        <v>3</v>
      </c>
      <c r="I7" s="5">
        <v>10</v>
      </c>
      <c r="J7" s="5">
        <v>8</v>
      </c>
      <c r="K7" s="5">
        <v>4</v>
      </c>
      <c r="L7" s="5">
        <f t="shared" si="0"/>
        <v>7</v>
      </c>
      <c r="M7" s="5">
        <f t="shared" si="1"/>
        <v>70</v>
      </c>
    </row>
    <row r="8" spans="1:13" x14ac:dyDescent="0.3">
      <c r="A8" s="5" t="s">
        <v>18</v>
      </c>
      <c r="B8" s="5">
        <v>0</v>
      </c>
      <c r="C8" s="5">
        <v>0</v>
      </c>
      <c r="D8" s="5">
        <v>5</v>
      </c>
      <c r="E8" s="5">
        <v>0</v>
      </c>
      <c r="F8" s="5">
        <v>0</v>
      </c>
      <c r="G8" s="5">
        <v>0</v>
      </c>
      <c r="H8" s="5">
        <v>5</v>
      </c>
      <c r="I8" s="5">
        <v>7</v>
      </c>
      <c r="J8" s="5">
        <v>10</v>
      </c>
      <c r="K8" s="5">
        <v>2</v>
      </c>
      <c r="L8" s="5">
        <f t="shared" si="0"/>
        <v>2.9</v>
      </c>
      <c r="M8" s="5">
        <f t="shared" si="1"/>
        <v>29</v>
      </c>
    </row>
    <row r="9" spans="1:13" x14ac:dyDescent="0.3">
      <c r="A9" s="5" t="s">
        <v>21</v>
      </c>
      <c r="B9" s="5">
        <v>3</v>
      </c>
      <c r="C9" s="5">
        <v>4</v>
      </c>
      <c r="D9" s="5">
        <v>3</v>
      </c>
      <c r="E9" s="5">
        <v>9</v>
      </c>
      <c r="F9" s="5">
        <v>9</v>
      </c>
      <c r="G9" s="5">
        <v>7</v>
      </c>
      <c r="H9" s="5">
        <v>2</v>
      </c>
      <c r="I9" s="5">
        <v>4</v>
      </c>
      <c r="J9" s="5">
        <v>4</v>
      </c>
      <c r="K9" s="5">
        <v>9</v>
      </c>
      <c r="L9" s="5">
        <f t="shared" si="0"/>
        <v>5.4</v>
      </c>
      <c r="M9" s="5">
        <f t="shared" si="1"/>
        <v>54</v>
      </c>
    </row>
    <row r="10" spans="1:13" x14ac:dyDescent="0.3">
      <c r="A10" s="5" t="s">
        <v>22</v>
      </c>
      <c r="B10" s="5">
        <v>2</v>
      </c>
      <c r="C10" s="5">
        <v>8</v>
      </c>
      <c r="D10" s="5">
        <v>6</v>
      </c>
      <c r="E10" s="5">
        <v>5</v>
      </c>
      <c r="F10" s="5">
        <v>10</v>
      </c>
      <c r="G10" s="5">
        <v>9</v>
      </c>
      <c r="H10" s="5">
        <v>6</v>
      </c>
      <c r="I10" s="5">
        <v>7</v>
      </c>
      <c r="J10" s="5">
        <v>7</v>
      </c>
      <c r="K10" s="5">
        <v>9</v>
      </c>
      <c r="L10" s="5">
        <f t="shared" si="0"/>
        <v>6.9</v>
      </c>
      <c r="M10" s="5">
        <f t="shared" si="1"/>
        <v>69</v>
      </c>
    </row>
    <row r="11" spans="1:13" x14ac:dyDescent="0.3">
      <c r="A11" s="5" t="s">
        <v>25</v>
      </c>
      <c r="B11" s="5">
        <v>5</v>
      </c>
      <c r="C11" s="5">
        <v>10</v>
      </c>
      <c r="D11" s="5">
        <v>2</v>
      </c>
      <c r="E11" s="5">
        <v>5</v>
      </c>
      <c r="F11" s="5">
        <v>7</v>
      </c>
      <c r="G11" s="5">
        <v>8</v>
      </c>
      <c r="H11" s="5">
        <v>6</v>
      </c>
      <c r="I11" s="5">
        <v>8</v>
      </c>
      <c r="J11" s="5">
        <v>7</v>
      </c>
      <c r="K11" s="5">
        <v>5</v>
      </c>
      <c r="L11" s="5">
        <f t="shared" si="0"/>
        <v>6.3</v>
      </c>
      <c r="M11" s="5">
        <f t="shared" si="1"/>
        <v>63</v>
      </c>
    </row>
  </sheetData>
  <sortState xmlns:xlrd2="http://schemas.microsoft.com/office/spreadsheetml/2017/richdata2" ref="A2:M11">
    <sortCondition sortBy="cellColor" ref="M2:M11" dxfId="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Formatos</vt:lpstr>
      <vt:lpstr>Ejemplo2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Maria G Urzagaste</cp:lastModifiedBy>
  <dcterms:created xsi:type="dcterms:W3CDTF">2021-11-24T17:14:54Z</dcterms:created>
  <dcterms:modified xsi:type="dcterms:W3CDTF">2025-11-25T20:36:32Z</dcterms:modified>
</cp:coreProperties>
</file>