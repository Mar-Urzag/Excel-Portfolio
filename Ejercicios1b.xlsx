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drawings/drawing4.xml" ContentType="application/vnd.openxmlformats-officedocument.drawing+xml"/>
  <Override PartName="/xl/ctrlProps/ctrlProp6.xml" ContentType="application/vnd.ms-excel.controlproperties+xml"/>
  <Override PartName="/xl/drawings/drawing5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358EF93A-C87E-4D6C-A8BB-61D9508F1D4A}" xr6:coauthVersionLast="47" xr6:coauthVersionMax="47" xr10:uidLastSave="{00000000-0000-0000-0000-000000000000}"/>
  <bookViews>
    <workbookView xWindow="-108" yWindow="-108" windowWidth="23256" windowHeight="12456" firstSheet="1" activeTab="4" xr2:uid="{8447BBA4-71E2-A049-B161-C700AE8932C3}"/>
  </bookViews>
  <sheets>
    <sheet name="Casillas" sheetId="1" r:id="rId1"/>
    <sheet name="CuadrosCombinados" sheetId="2" r:id="rId2"/>
    <sheet name="ControlNumerico" sheetId="3" r:id="rId3"/>
    <sheet name="CuadroDeLista" sheetId="4" r:id="rId4"/>
    <sheet name="BotonDeOpc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H9" i="4"/>
  <c r="G9" i="4"/>
  <c r="G4" i="3"/>
  <c r="F4" i="3"/>
  <c r="H3" i="2"/>
  <c r="G3" i="2"/>
</calcChain>
</file>

<file path=xl/sharedStrings.xml><?xml version="1.0" encoding="utf-8"?>
<sst xmlns="http://schemas.openxmlformats.org/spreadsheetml/2006/main" count="74" uniqueCount="24">
  <si>
    <t>Mayra Aguilar Sepúlveda</t>
  </si>
  <si>
    <t>Andrés González Rico</t>
  </si>
  <si>
    <t>Luis Miguel Valdés Garza</t>
  </si>
  <si>
    <t>Laura Gutiérrez Saenz</t>
  </si>
  <si>
    <t>Robert Zárate Carrillo</t>
  </si>
  <si>
    <t>Nombres</t>
  </si>
  <si>
    <t>Edad</t>
  </si>
  <si>
    <t>Jose Maria Velez</t>
  </si>
  <si>
    <t>Juan Antonio Moran</t>
  </si>
  <si>
    <t>José Jesús Morales</t>
  </si>
  <si>
    <t>Ana Valle Hinojosa</t>
  </si>
  <si>
    <t>Nancy Gil Peña</t>
  </si>
  <si>
    <t>Sueldo</t>
  </si>
  <si>
    <t>Total</t>
  </si>
  <si>
    <t>Nombre</t>
  </si>
  <si>
    <t>Juan Perez</t>
  </si>
  <si>
    <t>Estado</t>
  </si>
  <si>
    <t>Soltero</t>
  </si>
  <si>
    <t>Casado</t>
  </si>
  <si>
    <t>Viudo</t>
  </si>
  <si>
    <t>Nro</t>
  </si>
  <si>
    <t>Subtotal</t>
  </si>
  <si>
    <t>Descuento 5%</t>
  </si>
  <si>
    <t>IVA 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</si>
</sst>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;;;"/>
    <numFmt numFmtId="167" formatCode="_ [$$-300A]* #,##0.00_ ;_ [$$-300A]* \-#,##0.00_ ;_ [$$-300A]* &quot;-&quot;??_ ;_ 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2">
    <xf numFmtId="0" fontId="0" fillId="0" borderId="0" xfId="0"/>
    <xf numFmtId="0" fontId="2" fillId="3" borderId="0" xfId="3"/>
    <xf numFmtId="165" fontId="0" fillId="0" borderId="0" xfId="1" applyFont="1"/>
    <xf numFmtId="0" fontId="3" fillId="2" borderId="0" xfId="2" applyAlignment="1">
      <alignment horizontal="center" vertical="center"/>
    </xf>
    <xf numFmtId="166" fontId="0" fillId="0" borderId="0" xfId="0" applyNumberFormat="1"/>
    <xf numFmtId="0" fontId="1" fillId="4" borderId="0" xfId="4"/>
    <xf numFmtId="0" fontId="1" fillId="5" borderId="1" xfId="5" applyBorder="1" applyAlignment="1">
      <alignment horizontal="center"/>
    </xf>
    <xf numFmtId="167" fontId="0" fillId="0" borderId="0" xfId="0" applyNumberFormat="1"/>
    <xf numFmtId="14" fontId="5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right"/>
    </xf>
    <xf numFmtId="164" fontId="0" fillId="0" borderId="0" xfId="0" applyNumberFormat="1"/>
    <xf numFmtId="0" fontId="0" fillId="0" borderId="0" xfId="0" applyNumberFormat="1"/>
  </cellXfs>
  <cellStyles count="6">
    <cellStyle name="20% - Énfasis1" xfId="3" builtinId="30"/>
    <cellStyle name="40% - Énfasis2" xfId="4" builtinId="35"/>
    <cellStyle name="60% - Énfasis4" xfId="5" builtinId="44"/>
    <cellStyle name="Bueno" xfId="2" builtinId="26"/>
    <cellStyle name="Moneda" xfId="1" builtinId="4"/>
    <cellStyle name="Normal" xfId="0" builtinId="0"/>
  </cellStyles>
  <dxfs count="2">
    <dxf>
      <font>
        <b/>
        <i val="0"/>
        <strike/>
        <color theme="0"/>
      </font>
      <fill>
        <patternFill>
          <bgColor theme="9" tint="0.39994506668294322"/>
        </patternFill>
      </fill>
    </dxf>
    <dxf>
      <font>
        <strike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$C4" lockText="1" noThreeD="1"/>
</file>

<file path=xl/ctrlProps/ctrlProp2.xml><?xml version="1.0" encoding="utf-8"?>
<formControlPr xmlns="http://schemas.microsoft.com/office/spreadsheetml/2009/9/main" objectType="CheckBox" fmlaLink="$C5" lockText="1" noThreeD="1"/>
</file>

<file path=xl/ctrlProps/ctrlProp3.xml><?xml version="1.0" encoding="utf-8"?>
<formControlPr xmlns="http://schemas.microsoft.com/office/spreadsheetml/2009/9/main" objectType="CheckBox" checked="Checked" fmlaLink="$C6" lockText="1" noThreeD="1"/>
</file>

<file path=xl/ctrlProps/ctrlProp4.xml><?xml version="1.0" encoding="utf-8"?>
<formControlPr xmlns="http://schemas.microsoft.com/office/spreadsheetml/2009/9/main" objectType="Drop" dropLines="5" dropStyle="combo" dx="26" fmlaLink="$E$2" fmlaRange="$B$4:$B$13" noThreeD="1" sel="8" val="5"/>
</file>

<file path=xl/ctrlProps/ctrlProp5.xml><?xml version="1.0" encoding="utf-8"?>
<formControlPr xmlns="http://schemas.microsoft.com/office/spreadsheetml/2009/9/main" objectType="Spin" dx="26" fmlaLink="$E$3" max="10" min="1" noThreeD="1" page="10" val="10"/>
</file>

<file path=xl/ctrlProps/ctrlProp6.xml><?xml version="1.0" encoding="utf-8"?>
<formControlPr xmlns="http://schemas.microsoft.com/office/spreadsheetml/2009/9/main" objectType="List" dx="26" fmlaLink="$F$3" fmlaRange="$B$4:$B$13" noThreeD="1" sel="3" val="0"/>
</file>

<file path=xl/ctrlProps/ctrlProp7.xml><?xml version="1.0" encoding="utf-8"?>
<formControlPr xmlns="http://schemas.microsoft.com/office/spreadsheetml/2009/9/main" objectType="Radio" checked="Checked" firstButton="1" fmlaLink="$C$3" lockText="1" noThreeD="1"/>
</file>

<file path=xl/ctrlProps/ctrlProp8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9478</xdr:colOff>
      <xdr:row>0</xdr:row>
      <xdr:rowOff>37910</xdr:rowOff>
    </xdr:from>
    <xdr:to>
      <xdr:col>2</xdr:col>
      <xdr:colOff>217640</xdr:colOff>
      <xdr:row>1</xdr:row>
      <xdr:rowOff>146903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478" y="37910"/>
          <a:ext cx="2369019" cy="31108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/>
            <a:t>Casillas de Verificación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45719</xdr:colOff>
          <xdr:row>3</xdr:row>
          <xdr:rowOff>15240</xdr:rowOff>
        </xdr:from>
        <xdr:to>
          <xdr:col>3</xdr:col>
          <xdr:colOff>85165</xdr:colOff>
          <xdr:row>4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</xdr:row>
          <xdr:rowOff>185121</xdr:rowOff>
        </xdr:from>
        <xdr:to>
          <xdr:col>3</xdr:col>
          <xdr:colOff>47513</xdr:colOff>
          <xdr:row>5</xdr:row>
          <xdr:rowOff>10758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44824</xdr:colOff>
          <xdr:row>4</xdr:row>
          <xdr:rowOff>183328</xdr:rowOff>
        </xdr:from>
        <xdr:to>
          <xdr:col>2</xdr:col>
          <xdr:colOff>242047</xdr:colOff>
          <xdr:row>6</xdr:row>
          <xdr:rowOff>1344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513655</xdr:colOff>
      <xdr:row>1</xdr:row>
      <xdr:rowOff>109770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3032835" cy="3127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/>
            <a:t>Cuadros combinados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5443</xdr:colOff>
          <xdr:row>0</xdr:row>
          <xdr:rowOff>190500</xdr:rowOff>
        </xdr:from>
        <xdr:to>
          <xdr:col>5</xdr:col>
          <xdr:colOff>1230084</xdr:colOff>
          <xdr:row>1</xdr:row>
          <xdr:rowOff>190500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26427</xdr:colOff>
      <xdr:row>0</xdr:row>
      <xdr:rowOff>13214</xdr:rowOff>
    </xdr:from>
    <xdr:to>
      <xdr:col>3</xdr:col>
      <xdr:colOff>227940</xdr:colOff>
      <xdr:row>1</xdr:row>
      <xdr:rowOff>122776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6427" y="13214"/>
          <a:ext cx="2652686" cy="31107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/>
            <a:t>Control Numerico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4763</xdr:colOff>
          <xdr:row>2</xdr:row>
          <xdr:rowOff>195263</xdr:rowOff>
        </xdr:from>
        <xdr:to>
          <xdr:col>4</xdr:col>
          <xdr:colOff>247650</xdr:colOff>
          <xdr:row>3</xdr:row>
          <xdr:rowOff>190500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101306</xdr:colOff>
      <xdr:row>0</xdr:row>
      <xdr:rowOff>0</xdr:rowOff>
    </xdr:from>
    <xdr:to>
      <xdr:col>3</xdr:col>
      <xdr:colOff>660694</xdr:colOff>
      <xdr:row>1</xdr:row>
      <xdr:rowOff>113793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1306" y="0"/>
          <a:ext cx="3065619" cy="31640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/>
            <a:t>Cuadro</a:t>
          </a:r>
          <a:r>
            <a:rPr lang="es-MX" sz="1800" baseline="0"/>
            <a:t> de Lista</a:t>
          </a:r>
          <a:endParaRPr lang="es-MX" sz="18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85090</xdr:rowOff>
        </xdr:from>
        <xdr:to>
          <xdr:col>8</xdr:col>
          <xdr:colOff>6350</xdr:colOff>
          <xdr:row>7</xdr:row>
          <xdr:rowOff>10160</xdr:rowOff>
        </xdr:to>
        <xdr:sp macro="" textlink="">
          <xdr:nvSpPr>
            <xdr:cNvPr id="4097" name="List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1107029</xdr:colOff>
      <xdr:row>1</xdr:row>
      <xdr:rowOff>111724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3469229" cy="3149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/>
            <a:t>BotonDeOpciones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</xdr:row>
          <xdr:rowOff>17780</xdr:rowOff>
        </xdr:from>
        <xdr:to>
          <xdr:col>2</xdr:col>
          <xdr:colOff>876300</xdr:colOff>
          <xdr:row>3</xdr:row>
          <xdr:rowOff>254000</xdr:rowOff>
        </xdr:to>
        <xdr:sp macro="" textlink="">
          <xdr:nvSpPr>
            <xdr:cNvPr id="5121" name="Option 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 descuento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109220</xdr:colOff>
          <xdr:row>4</xdr:row>
          <xdr:rowOff>27940</xdr:rowOff>
        </xdr:from>
        <xdr:to>
          <xdr:col>2</xdr:col>
          <xdr:colOff>904240</xdr:colOff>
          <xdr:row>4</xdr:row>
          <xdr:rowOff>251460</xdr:rowOff>
        </xdr:to>
        <xdr:sp macro="" textlink="">
          <xdr:nvSpPr>
            <xdr:cNvPr id="5122" name="Option 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Sin descuento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93E0-5847-0B4E-A88C-D8D39712A15B}">
  <dimension ref="A3:C13"/>
  <sheetViews>
    <sheetView zoomScale="170" zoomScaleNormal="170" workbookViewId="0">
      <selection activeCell="C6" sqref="C6"/>
    </sheetView>
  </sheetViews>
  <sheetFormatPr baseColWidth="10" defaultRowHeight="15.6" x14ac:dyDescent="0.3"/>
  <cols>
    <col min="1" max="1" width="22.09765625" bestFit="1" customWidth="1"/>
    <col min="2" max="2" width="5.09765625" bestFit="1" customWidth="1"/>
    <col min="3" max="3" width="3.19921875" customWidth="1"/>
  </cols>
  <sheetData>
    <row r="3" spans="1:3" x14ac:dyDescent="0.3">
      <c r="A3" s="1" t="s">
        <v>5</v>
      </c>
      <c r="B3" s="1" t="s">
        <v>6</v>
      </c>
      <c r="C3" s="1" t="s">
        <v>16</v>
      </c>
    </row>
    <row r="4" spans="1:3" x14ac:dyDescent="0.3">
      <c r="A4" t="s">
        <v>0</v>
      </c>
      <c r="B4">
        <v>65</v>
      </c>
      <c r="C4" s="4" t="b">
        <v>1</v>
      </c>
    </row>
    <row r="5" spans="1:3" x14ac:dyDescent="0.3">
      <c r="A5" t="s">
        <v>1</v>
      </c>
      <c r="B5">
        <v>34</v>
      </c>
      <c r="C5" s="4" t="b">
        <v>0</v>
      </c>
    </row>
    <row r="6" spans="1:3" x14ac:dyDescent="0.3">
      <c r="A6" t="s">
        <v>15</v>
      </c>
      <c r="B6">
        <v>74</v>
      </c>
      <c r="C6" s="4" t="b">
        <v>1</v>
      </c>
    </row>
    <row r="7" spans="1:3" x14ac:dyDescent="0.3">
      <c r="A7" t="s">
        <v>9</v>
      </c>
      <c r="B7">
        <v>45</v>
      </c>
      <c r="C7" s="11"/>
    </row>
    <row r="8" spans="1:3" x14ac:dyDescent="0.3">
      <c r="A8" t="s">
        <v>2</v>
      </c>
      <c r="B8">
        <v>34</v>
      </c>
      <c r="C8" s="11"/>
    </row>
    <row r="9" spans="1:3" x14ac:dyDescent="0.3">
      <c r="A9" t="s">
        <v>10</v>
      </c>
      <c r="B9">
        <v>33</v>
      </c>
      <c r="C9" s="11"/>
    </row>
    <row r="10" spans="1:3" x14ac:dyDescent="0.3">
      <c r="A10" t="s">
        <v>3</v>
      </c>
      <c r="B10">
        <v>32</v>
      </c>
      <c r="C10" s="11"/>
    </row>
    <row r="11" spans="1:3" x14ac:dyDescent="0.3">
      <c r="A11" t="s">
        <v>4</v>
      </c>
      <c r="B11">
        <v>78</v>
      </c>
      <c r="C11" s="11"/>
    </row>
    <row r="12" spans="1:3" x14ac:dyDescent="0.3">
      <c r="A12" t="s">
        <v>7</v>
      </c>
      <c r="B12">
        <v>25</v>
      </c>
      <c r="C12" s="11"/>
    </row>
    <row r="13" spans="1:3" x14ac:dyDescent="0.3">
      <c r="A13" t="s">
        <v>8</v>
      </c>
      <c r="B13">
        <v>69</v>
      </c>
      <c r="C13" s="11"/>
    </row>
  </sheetData>
  <conditionalFormatting sqref="A4:B13">
    <cfRule type="expression" dxfId="0" priority="1">
      <formula>$C4=TRUE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45720</xdr:colOff>
                    <xdr:row>3</xdr:row>
                    <xdr:rowOff>15240</xdr:rowOff>
                  </from>
                  <to>
                    <xdr:col>3</xdr:col>
                    <xdr:colOff>83820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45720</xdr:colOff>
                    <xdr:row>3</xdr:row>
                    <xdr:rowOff>182880</xdr:rowOff>
                  </from>
                  <to>
                    <xdr:col>3</xdr:col>
                    <xdr:colOff>45720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45720</xdr:colOff>
                    <xdr:row>4</xdr:row>
                    <xdr:rowOff>182880</xdr:rowOff>
                  </from>
                  <to>
                    <xdr:col>3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C4B8-4A73-D54A-B049-2942B34E992D}">
  <dimension ref="A2:H13"/>
  <sheetViews>
    <sheetView zoomScale="140" zoomScaleNormal="140" workbookViewId="0">
      <selection activeCell="E2" sqref="E2"/>
    </sheetView>
  </sheetViews>
  <sheetFormatPr baseColWidth="10" defaultRowHeight="15.6" x14ac:dyDescent="0.3"/>
  <cols>
    <col min="1" max="1" width="3.69921875" bestFit="1" customWidth="1"/>
    <col min="2" max="2" width="22.09765625" bestFit="1" customWidth="1"/>
    <col min="3" max="3" width="4.8984375" customWidth="1"/>
    <col min="5" max="5" width="4.59765625" customWidth="1"/>
    <col min="6" max="6" width="16.19921875" customWidth="1"/>
  </cols>
  <sheetData>
    <row r="2" spans="1:8" x14ac:dyDescent="0.3">
      <c r="E2" s="4">
        <v>8</v>
      </c>
      <c r="F2">
        <v>2</v>
      </c>
      <c r="G2" s="1" t="s">
        <v>6</v>
      </c>
      <c r="H2" s="1" t="s">
        <v>16</v>
      </c>
    </row>
    <row r="3" spans="1:8" x14ac:dyDescent="0.3">
      <c r="A3" s="1" t="s">
        <v>20</v>
      </c>
      <c r="B3" s="1" t="s">
        <v>5</v>
      </c>
      <c r="C3" s="1" t="s">
        <v>6</v>
      </c>
      <c r="D3" s="1" t="s">
        <v>16</v>
      </c>
      <c r="G3">
        <f>VLOOKUP(E2,A4:D13,3,FALSE)</f>
        <v>78</v>
      </c>
      <c r="H3" t="str">
        <f>VLOOKUP(E2,A4:D13,4,FALSE)</f>
        <v>Viudo</v>
      </c>
    </row>
    <row r="4" spans="1:8" x14ac:dyDescent="0.3">
      <c r="A4">
        <v>1</v>
      </c>
      <c r="B4" t="s">
        <v>0</v>
      </c>
      <c r="C4">
        <v>65</v>
      </c>
      <c r="D4" t="s">
        <v>17</v>
      </c>
    </row>
    <row r="5" spans="1:8" x14ac:dyDescent="0.3">
      <c r="A5">
        <v>2</v>
      </c>
      <c r="B5" t="s">
        <v>1</v>
      </c>
      <c r="C5">
        <v>34</v>
      </c>
      <c r="D5" t="s">
        <v>18</v>
      </c>
    </row>
    <row r="6" spans="1:8" x14ac:dyDescent="0.3">
      <c r="A6">
        <v>3</v>
      </c>
      <c r="B6" t="s">
        <v>15</v>
      </c>
      <c r="C6">
        <v>74</v>
      </c>
      <c r="D6" t="s">
        <v>19</v>
      </c>
    </row>
    <row r="7" spans="1:8" x14ac:dyDescent="0.3">
      <c r="A7">
        <v>4</v>
      </c>
      <c r="B7" t="s">
        <v>9</v>
      </c>
      <c r="C7">
        <v>45</v>
      </c>
      <c r="D7" t="s">
        <v>17</v>
      </c>
    </row>
    <row r="8" spans="1:8" x14ac:dyDescent="0.3">
      <c r="A8">
        <v>5</v>
      </c>
      <c r="B8" t="s">
        <v>2</v>
      </c>
      <c r="C8">
        <v>34</v>
      </c>
      <c r="D8" t="s">
        <v>18</v>
      </c>
    </row>
    <row r="9" spans="1:8" x14ac:dyDescent="0.3">
      <c r="A9">
        <v>6</v>
      </c>
      <c r="B9" t="s">
        <v>10</v>
      </c>
      <c r="C9">
        <v>33</v>
      </c>
      <c r="D9" t="s">
        <v>19</v>
      </c>
    </row>
    <row r="10" spans="1:8" x14ac:dyDescent="0.3">
      <c r="A10">
        <v>7</v>
      </c>
      <c r="B10" t="s">
        <v>3</v>
      </c>
      <c r="C10">
        <v>32</v>
      </c>
      <c r="D10" t="s">
        <v>19</v>
      </c>
    </row>
    <row r="11" spans="1:8" x14ac:dyDescent="0.3">
      <c r="A11">
        <v>8</v>
      </c>
      <c r="B11" t="s">
        <v>4</v>
      </c>
      <c r="C11">
        <v>78</v>
      </c>
      <c r="D11" t="s">
        <v>19</v>
      </c>
    </row>
    <row r="12" spans="1:8" x14ac:dyDescent="0.3">
      <c r="A12">
        <v>9</v>
      </c>
      <c r="B12" t="s">
        <v>7</v>
      </c>
      <c r="C12">
        <v>25</v>
      </c>
      <c r="D12" t="s">
        <v>17</v>
      </c>
    </row>
    <row r="13" spans="1:8" x14ac:dyDescent="0.3">
      <c r="A13">
        <v>10</v>
      </c>
      <c r="B13" t="s">
        <v>8</v>
      </c>
      <c r="C13">
        <v>69</v>
      </c>
      <c r="D13" t="s">
        <v>18</v>
      </c>
    </row>
  </sheetData>
  <conditionalFormatting sqref="B4:C13">
    <cfRule type="expression" dxfId="1" priority="1">
      <formula>$D4=TRUE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5</xdr:col>
                    <xdr:colOff>7620</xdr:colOff>
                    <xdr:row>0</xdr:row>
                    <xdr:rowOff>190500</xdr:rowOff>
                  </from>
                  <to>
                    <xdr:col>5</xdr:col>
                    <xdr:colOff>1226820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932F-BBAA-1047-9CC2-332BF1DBCCE3}">
  <dimension ref="A3:G13"/>
  <sheetViews>
    <sheetView zoomScale="160" zoomScaleNormal="160" workbookViewId="0">
      <selection activeCell="E3" sqref="E3"/>
    </sheetView>
  </sheetViews>
  <sheetFormatPr baseColWidth="10" defaultRowHeight="15.6" x14ac:dyDescent="0.3"/>
  <cols>
    <col min="1" max="1" width="3.69921875" bestFit="1" customWidth="1"/>
    <col min="2" max="2" width="22.09765625" bestFit="1" customWidth="1"/>
    <col min="3" max="3" width="5.09765625" bestFit="1" customWidth="1"/>
    <col min="4" max="4" width="4.296875" customWidth="1"/>
    <col min="5" max="5" width="3.296875" customWidth="1"/>
    <col min="6" max="6" width="19" bestFit="1" customWidth="1"/>
    <col min="7" max="7" width="14" customWidth="1"/>
  </cols>
  <sheetData>
    <row r="3" spans="1:7" x14ac:dyDescent="0.3">
      <c r="A3" s="1" t="s">
        <v>20</v>
      </c>
      <c r="B3" s="1" t="s">
        <v>5</v>
      </c>
      <c r="C3" s="1" t="s">
        <v>6</v>
      </c>
      <c r="E3" s="4">
        <v>10</v>
      </c>
      <c r="F3" s="3" t="s">
        <v>14</v>
      </c>
      <c r="G3" s="3" t="s">
        <v>6</v>
      </c>
    </row>
    <row r="4" spans="1:7" x14ac:dyDescent="0.3">
      <c r="A4">
        <v>1</v>
      </c>
      <c r="B4" t="s">
        <v>10</v>
      </c>
      <c r="C4">
        <v>33</v>
      </c>
      <c r="D4" s="4">
        <v>10</v>
      </c>
      <c r="F4" t="str">
        <f>VLOOKUP($E$3,$A$4:$C$13,2,FALSE)</f>
        <v>Robert Zárate Carrillo</v>
      </c>
      <c r="G4">
        <f>VLOOKUP($E$3,$A$4:$C$13,3,FALSE)</f>
        <v>23</v>
      </c>
    </row>
    <row r="5" spans="1:7" x14ac:dyDescent="0.3">
      <c r="A5">
        <v>2</v>
      </c>
      <c r="B5" t="s">
        <v>1</v>
      </c>
      <c r="C5">
        <v>34</v>
      </c>
    </row>
    <row r="6" spans="1:7" x14ac:dyDescent="0.3">
      <c r="A6">
        <v>3</v>
      </c>
      <c r="B6" t="s">
        <v>9</v>
      </c>
      <c r="C6">
        <v>54</v>
      </c>
    </row>
    <row r="7" spans="1:7" x14ac:dyDescent="0.3">
      <c r="A7">
        <v>4</v>
      </c>
      <c r="B7" t="s">
        <v>7</v>
      </c>
      <c r="C7">
        <v>25</v>
      </c>
    </row>
    <row r="8" spans="1:7" x14ac:dyDescent="0.3">
      <c r="A8">
        <v>5</v>
      </c>
      <c r="B8" t="s">
        <v>8</v>
      </c>
      <c r="C8">
        <v>46</v>
      </c>
    </row>
    <row r="9" spans="1:7" x14ac:dyDescent="0.3">
      <c r="A9">
        <v>6</v>
      </c>
      <c r="B9" t="s">
        <v>3</v>
      </c>
      <c r="C9">
        <v>32</v>
      </c>
    </row>
    <row r="10" spans="1:7" x14ac:dyDescent="0.3">
      <c r="A10">
        <v>7</v>
      </c>
      <c r="B10" t="s">
        <v>2</v>
      </c>
      <c r="C10">
        <v>32</v>
      </c>
    </row>
    <row r="11" spans="1:7" x14ac:dyDescent="0.3">
      <c r="A11">
        <v>8</v>
      </c>
      <c r="B11" t="s">
        <v>0</v>
      </c>
      <c r="C11">
        <v>45</v>
      </c>
    </row>
    <row r="12" spans="1:7" x14ac:dyDescent="0.3">
      <c r="A12">
        <v>9</v>
      </c>
      <c r="B12" t="s">
        <v>11</v>
      </c>
      <c r="C12">
        <v>44</v>
      </c>
    </row>
    <row r="13" spans="1:7" x14ac:dyDescent="0.3">
      <c r="A13">
        <v>10</v>
      </c>
      <c r="B13" t="s">
        <v>4</v>
      </c>
      <c r="C13">
        <v>23</v>
      </c>
    </row>
  </sheetData>
  <sortState xmlns:xlrd2="http://schemas.microsoft.com/office/spreadsheetml/2017/richdata2" ref="B4:C13">
    <sortCondition ref="B5:B13"/>
  </sortState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4</xdr:col>
                    <xdr:colOff>7620</xdr:colOff>
                    <xdr:row>2</xdr:row>
                    <xdr:rowOff>198120</xdr:rowOff>
                  </from>
                  <to>
                    <xdr:col>4</xdr:col>
                    <xdr:colOff>251460</xdr:colOff>
                    <xdr:row>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6CC9-C2A2-2844-A105-1E779C854FC9}">
  <dimension ref="A3:H13"/>
  <sheetViews>
    <sheetView zoomScale="120" zoomScaleNormal="120" workbookViewId="0">
      <selection activeCell="F3" sqref="F3"/>
    </sheetView>
  </sheetViews>
  <sheetFormatPr baseColWidth="10" defaultRowHeight="15.6" x14ac:dyDescent="0.3"/>
  <cols>
    <col min="1" max="1" width="3.3984375" bestFit="1" customWidth="1"/>
    <col min="2" max="2" width="22.09765625" bestFit="1" customWidth="1"/>
    <col min="3" max="3" width="6.09765625" customWidth="1"/>
    <col min="4" max="4" width="10.5" bestFit="1" customWidth="1"/>
    <col min="5" max="5" width="3.296875" customWidth="1"/>
    <col min="6" max="6" width="3.796875" customWidth="1"/>
  </cols>
  <sheetData>
    <row r="3" spans="1:8" x14ac:dyDescent="0.3">
      <c r="A3" s="5" t="s">
        <v>20</v>
      </c>
      <c r="B3" s="5" t="s">
        <v>5</v>
      </c>
      <c r="C3" s="5" t="s">
        <v>6</v>
      </c>
      <c r="D3" s="5" t="s">
        <v>12</v>
      </c>
      <c r="F3" s="4">
        <v>3</v>
      </c>
    </row>
    <row r="4" spans="1:8" x14ac:dyDescent="0.3">
      <c r="A4">
        <v>1</v>
      </c>
      <c r="B4" t="s">
        <v>0</v>
      </c>
      <c r="C4">
        <v>45</v>
      </c>
      <c r="D4" s="7">
        <v>3345</v>
      </c>
    </row>
    <row r="5" spans="1:8" x14ac:dyDescent="0.3">
      <c r="A5">
        <v>2</v>
      </c>
      <c r="B5" t="s">
        <v>1</v>
      </c>
      <c r="C5">
        <v>34</v>
      </c>
      <c r="D5" s="7">
        <v>2232</v>
      </c>
    </row>
    <row r="6" spans="1:8" x14ac:dyDescent="0.3">
      <c r="A6">
        <v>3</v>
      </c>
      <c r="B6" t="s">
        <v>11</v>
      </c>
      <c r="C6">
        <v>44</v>
      </c>
      <c r="D6" s="7">
        <v>1223</v>
      </c>
    </row>
    <row r="7" spans="1:8" x14ac:dyDescent="0.3">
      <c r="A7">
        <v>4</v>
      </c>
      <c r="B7" t="s">
        <v>9</v>
      </c>
      <c r="C7">
        <v>45</v>
      </c>
      <c r="D7" s="7">
        <v>2323</v>
      </c>
    </row>
    <row r="8" spans="1:8" x14ac:dyDescent="0.3">
      <c r="A8">
        <v>5</v>
      </c>
      <c r="B8" t="s">
        <v>2</v>
      </c>
      <c r="C8">
        <v>34</v>
      </c>
      <c r="D8" s="7">
        <v>1123</v>
      </c>
      <c r="G8" s="6" t="s">
        <v>6</v>
      </c>
      <c r="H8" s="6" t="s">
        <v>12</v>
      </c>
    </row>
    <row r="9" spans="1:8" x14ac:dyDescent="0.3">
      <c r="A9">
        <v>6</v>
      </c>
      <c r="B9" t="s">
        <v>10</v>
      </c>
      <c r="C9">
        <v>33</v>
      </c>
      <c r="D9" s="7">
        <v>2234</v>
      </c>
      <c r="G9">
        <f>VLOOKUP($F$3,A4:D13,3,FALSE)</f>
        <v>44</v>
      </c>
      <c r="H9" s="7">
        <f>VLOOKUP($F$3,A4:D13,4,FALSE)</f>
        <v>1223</v>
      </c>
    </row>
    <row r="10" spans="1:8" x14ac:dyDescent="0.3">
      <c r="A10">
        <v>7</v>
      </c>
      <c r="B10" t="s">
        <v>3</v>
      </c>
      <c r="C10">
        <v>32</v>
      </c>
      <c r="D10" s="7">
        <v>2232</v>
      </c>
    </row>
    <row r="11" spans="1:8" x14ac:dyDescent="0.3">
      <c r="A11">
        <v>8</v>
      </c>
      <c r="B11" t="s">
        <v>4</v>
      </c>
      <c r="C11">
        <v>23</v>
      </c>
      <c r="D11" s="7">
        <v>1123</v>
      </c>
    </row>
    <row r="12" spans="1:8" x14ac:dyDescent="0.3">
      <c r="A12">
        <v>9</v>
      </c>
      <c r="B12" t="s">
        <v>7</v>
      </c>
      <c r="C12">
        <v>25</v>
      </c>
      <c r="D12" s="7">
        <v>1123</v>
      </c>
    </row>
    <row r="13" spans="1:8" x14ac:dyDescent="0.3">
      <c r="A13">
        <v>10</v>
      </c>
      <c r="B13" t="s">
        <v>8</v>
      </c>
      <c r="C13">
        <v>45</v>
      </c>
      <c r="D13" s="7">
        <v>3454</v>
      </c>
    </row>
  </sheetData>
  <phoneticPr fontId="4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List Box 1">
              <controlPr defaultSize="0" autoLine="0" autoPict="0">
                <anchor moveWithCells="1">
                  <from>
                    <xdr:col>6</xdr:col>
                    <xdr:colOff>22860</xdr:colOff>
                    <xdr:row>2</xdr:row>
                    <xdr:rowOff>83820</xdr:rowOff>
                  </from>
                  <to>
                    <xdr:col>8</xdr:col>
                    <xdr:colOff>7620</xdr:colOff>
                    <xdr:row>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EA8D-6F1E-E943-85CD-8D2B5A6DC79C}">
  <dimension ref="A3:C6"/>
  <sheetViews>
    <sheetView tabSelected="1" zoomScale="150" zoomScaleNormal="150" workbookViewId="0">
      <selection activeCell="F8" sqref="F8"/>
    </sheetView>
  </sheetViews>
  <sheetFormatPr baseColWidth="10" defaultRowHeight="15.6" x14ac:dyDescent="0.3"/>
  <cols>
    <col min="1" max="1" width="17" customWidth="1"/>
    <col min="2" max="2" width="11.8984375" bestFit="1" customWidth="1"/>
    <col min="3" max="3" width="14.69921875" customWidth="1"/>
    <col min="4" max="4" width="20.3984375" bestFit="1" customWidth="1"/>
  </cols>
  <sheetData>
    <row r="3" spans="1:3" ht="21" x14ac:dyDescent="0.4">
      <c r="A3" s="8" t="s">
        <v>21</v>
      </c>
      <c r="B3" s="2">
        <v>1000</v>
      </c>
      <c r="C3" s="4">
        <v>1</v>
      </c>
    </row>
    <row r="4" spans="1:3" ht="21" x14ac:dyDescent="0.4">
      <c r="A4" s="8" t="s">
        <v>22</v>
      </c>
      <c r="B4" s="2">
        <f>B3*0.05</f>
        <v>50</v>
      </c>
    </row>
    <row r="5" spans="1:3" ht="21" x14ac:dyDescent="0.4">
      <c r="A5" s="9" t="s">
        <v>23</v>
      </c>
      <c r="B5" s="10">
        <f>B3*0.12</f>
        <v>120</v>
      </c>
    </row>
    <row r="6" spans="1:3" ht="21" x14ac:dyDescent="0.4">
      <c r="A6" s="9" t="s">
        <v>13</v>
      </c>
      <c r="B6" s="10">
        <f>IF(C3=1,(B3-B4+B5),(B3+B5))</f>
        <v>1070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Option Button 1">
              <controlPr defaultSize="0" autoFill="0" autoLine="0" autoPict="0">
                <anchor moveWithCells="1">
                  <from>
                    <xdr:col>2</xdr:col>
                    <xdr:colOff>99060</xdr:colOff>
                    <xdr:row>3</xdr:row>
                    <xdr:rowOff>15240</xdr:rowOff>
                  </from>
                  <to>
                    <xdr:col>2</xdr:col>
                    <xdr:colOff>876300</xdr:colOff>
                    <xdr:row>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Option Button 2">
              <controlPr defaultSize="0" autoFill="0" autoLine="0" autoPict="0">
                <anchor moveWithCells="1">
                  <from>
                    <xdr:col>2</xdr:col>
                    <xdr:colOff>106680</xdr:colOff>
                    <xdr:row>4</xdr:row>
                    <xdr:rowOff>30480</xdr:rowOff>
                  </from>
                  <to>
                    <xdr:col>2</xdr:col>
                    <xdr:colOff>906780</xdr:colOff>
                    <xdr:row>4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Casillas</vt:lpstr>
      <vt:lpstr>CuadrosCombinados</vt:lpstr>
      <vt:lpstr>ControlNumerico</vt:lpstr>
      <vt:lpstr>CuadroDeLista</vt:lpstr>
      <vt:lpstr>BotonDeOpcion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Teran</dc:creator>
  <cp:lastModifiedBy>Maria G Urzagaste</cp:lastModifiedBy>
  <dcterms:created xsi:type="dcterms:W3CDTF">2021-11-14T22:49:05Z</dcterms:created>
  <dcterms:modified xsi:type="dcterms:W3CDTF">2025-11-26T23:50:30Z</dcterms:modified>
</cp:coreProperties>
</file>