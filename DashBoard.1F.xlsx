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7B5A8F0A-0D88-4584-AE77-DCC1E3D3CA0C}" xr6:coauthVersionLast="47" xr6:coauthVersionMax="47" xr10:uidLastSave="{00000000-0000-0000-0000-000000000000}"/>
  <bookViews>
    <workbookView xWindow="-108" yWindow="-108" windowWidth="23256" windowHeight="12456" activeTab="2" xr2:uid="{6D599713-1989-43D3-A173-9FAFCAE4DAE7}"/>
  </bookViews>
  <sheets>
    <sheet name="BaseDeDatos" sheetId="1" r:id="rId1"/>
    <sheet name="grf" sheetId="7" r:id="rId2"/>
    <sheet name="dash" sheetId="8" r:id="rId3"/>
    <sheet name="Graficos" sheetId="5" r:id="rId4"/>
    <sheet name="DashBoard" sheetId="6" r:id="rId5"/>
  </sheets>
  <definedNames>
    <definedName name="_xlnm._FilterDatabase" localSheetId="0" hidden="1">BaseDeDatos!$B$2:$O$371</definedName>
    <definedName name="_xlchart.v5.0" hidden="1">grf!$D$59</definedName>
    <definedName name="_xlchart.v5.1" hidden="1">grf!$D$60:$D$70</definedName>
    <definedName name="_xlchart.v5.10" hidden="1">grf!$E$59</definedName>
    <definedName name="_xlchart.v5.11" hidden="1">grf!$E$60:$E$70</definedName>
    <definedName name="_xlchart.v5.12" hidden="1">grf!$D$59</definedName>
    <definedName name="_xlchart.v5.13" hidden="1">grf!$D$60:$D$70</definedName>
    <definedName name="_xlchart.v5.14" hidden="1">grf!$E$59</definedName>
    <definedName name="_xlchart.v5.15" hidden="1">grf!$E$60:$E$70</definedName>
    <definedName name="_xlchart.v5.16" hidden="1">grf!$D$59</definedName>
    <definedName name="_xlchart.v5.17" hidden="1">grf!$D$60:$D$70</definedName>
    <definedName name="_xlchart.v5.18" hidden="1">grf!$E$59</definedName>
    <definedName name="_xlchart.v5.19" hidden="1">grf!$E$60:$E$70</definedName>
    <definedName name="_xlchart.v5.2" hidden="1">grf!$E$59</definedName>
    <definedName name="_xlchart.v5.20" hidden="1">Graficos!$D$58</definedName>
    <definedName name="_xlchart.v5.21" hidden="1">Graficos!$D$59:$D$69</definedName>
    <definedName name="_xlchart.v5.22" hidden="1">Graficos!$E$58</definedName>
    <definedName name="_xlchart.v5.23" hidden="1">Graficos!$E$59:$E$69</definedName>
    <definedName name="_xlchart.v5.24" hidden="1">Graficos!$D$58</definedName>
    <definedName name="_xlchart.v5.25" hidden="1">Graficos!$D$59:$D$69</definedName>
    <definedName name="_xlchart.v5.26" hidden="1">Graficos!$E$58</definedName>
    <definedName name="_xlchart.v5.27" hidden="1">Graficos!$E$59:$E$69</definedName>
    <definedName name="_xlchart.v5.3" hidden="1">grf!$E$60:$E$70</definedName>
    <definedName name="_xlchart.v5.4" hidden="1">grf!$D$59</definedName>
    <definedName name="_xlchart.v5.5" hidden="1">grf!$D$60:$D$70</definedName>
    <definedName name="_xlchart.v5.6" hidden="1">grf!$E$59</definedName>
    <definedName name="_xlchart.v5.7" hidden="1">grf!$E$60:$E$70</definedName>
    <definedName name="_xlchart.v5.8" hidden="1">grf!$D$59</definedName>
    <definedName name="_xlchart.v5.9" hidden="1">grf!$D$60:$D$70</definedName>
    <definedName name="NativeTimeline_Fecha">#N/A</definedName>
    <definedName name="SegmentaciónDeDatos_Categoría">#N/A</definedName>
    <definedName name="SegmentaciónDeDatos_Categoría1">#N/A</definedName>
    <definedName name="SegmentaciónDeDatos_Provincia">#N/A</definedName>
    <definedName name="SegmentaciónDeDatos_Vendedor">#N/A</definedName>
    <definedName name="SegmentaciónDeDatos_Vendedor1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" i="7" l="1"/>
  <c r="E63" i="7"/>
  <c r="E64" i="7"/>
  <c r="E65" i="7"/>
  <c r="E66" i="7"/>
  <c r="E67" i="7"/>
  <c r="E68" i="7"/>
  <c r="E69" i="7"/>
  <c r="E70" i="7"/>
  <c r="E61" i="7"/>
  <c r="E60" i="7"/>
  <c r="O5" i="1"/>
  <c r="O9" i="1"/>
  <c r="O11" i="1"/>
  <c r="O13" i="1"/>
  <c r="O21" i="1"/>
  <c r="O25" i="1"/>
  <c r="O27" i="1"/>
  <c r="O29" i="1"/>
  <c r="O3" i="1"/>
  <c r="O22" i="1"/>
  <c r="O30" i="1"/>
  <c r="O4" i="1"/>
  <c r="O6" i="1"/>
  <c r="O7" i="1"/>
  <c r="O8" i="1"/>
  <c r="O10" i="1"/>
  <c r="O12" i="1"/>
  <c r="O14" i="1"/>
  <c r="O15" i="1"/>
  <c r="O16" i="1"/>
  <c r="O17" i="1"/>
  <c r="O18" i="1"/>
  <c r="O19" i="1"/>
  <c r="O20" i="1"/>
  <c r="O23" i="1"/>
  <c r="O24" i="1"/>
  <c r="O26" i="1"/>
  <c r="O28" i="1"/>
  <c r="O31" i="1"/>
  <c r="O32" i="1"/>
  <c r="O33" i="1"/>
  <c r="O34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E63" i="5"/>
  <c r="E59" i="5"/>
  <c r="E68" i="5"/>
  <c r="E62" i="5"/>
  <c r="E69" i="5"/>
  <c r="E67" i="5"/>
  <c r="E61" i="5"/>
  <c r="E65" i="5"/>
  <c r="E60" i="5"/>
  <c r="E64" i="5"/>
  <c r="E66" i="5"/>
</calcChain>
</file>

<file path=xl/sharedStrings.xml><?xml version="1.0" encoding="utf-8"?>
<sst xmlns="http://schemas.openxmlformats.org/spreadsheetml/2006/main" count="2912" uniqueCount="116">
  <si>
    <t>Ciudad</t>
  </si>
  <si>
    <t>Vendedor</t>
  </si>
  <si>
    <t>Forma de pago</t>
  </si>
  <si>
    <t>Categoría</t>
  </si>
  <si>
    <t>Cantidad</t>
  </si>
  <si>
    <t>Tarifa de envío</t>
  </si>
  <si>
    <t>Empresa AA</t>
  </si>
  <si>
    <t>Mayra Aguilar Sepúlveda</t>
  </si>
  <si>
    <t>Empresa de embarque B</t>
  </si>
  <si>
    <t>Cheque</t>
  </si>
  <si>
    <t>Cerveza</t>
  </si>
  <si>
    <t>Bebidas</t>
  </si>
  <si>
    <t>Ciruelas secas</t>
  </si>
  <si>
    <t>Frutas secas</t>
  </si>
  <si>
    <t>Empresa D</t>
  </si>
  <si>
    <t>Andrés González Rico</t>
  </si>
  <si>
    <t>Empresa de embarque A</t>
  </si>
  <si>
    <t>Tarjeta de crédito</t>
  </si>
  <si>
    <t>Peras secas</t>
  </si>
  <si>
    <t>Manzanas secas</t>
  </si>
  <si>
    <t>Empresa L</t>
  </si>
  <si>
    <t>Té chai</t>
  </si>
  <si>
    <t>Café</t>
  </si>
  <si>
    <t>Empresa H</t>
  </si>
  <si>
    <t>Nancy Gil de la Peña</t>
  </si>
  <si>
    <t>Empresa de embarque C</t>
  </si>
  <si>
    <t>Galletas de chocolate</t>
  </si>
  <si>
    <t>Productos horneados</t>
  </si>
  <si>
    <t>Empresa CC</t>
  </si>
  <si>
    <t>José de Jesús Morales</t>
  </si>
  <si>
    <t>Chocolate</t>
  </si>
  <si>
    <t>Dulces</t>
  </si>
  <si>
    <t>Empresa C</t>
  </si>
  <si>
    <t>Efectivo</t>
  </si>
  <si>
    <t>Almejas</t>
  </si>
  <si>
    <t>Sopas</t>
  </si>
  <si>
    <t>Empresa F</t>
  </si>
  <si>
    <t>Luis Miguel Valdés Garza</t>
  </si>
  <si>
    <t>Salsa curry</t>
  </si>
  <si>
    <t>Salsas</t>
  </si>
  <si>
    <t>Empresa BB</t>
  </si>
  <si>
    <t>Ana del Valle Hinojosa</t>
  </si>
  <si>
    <t>Empresa J</t>
  </si>
  <si>
    <t>Laura Gutiérrez Saenz</t>
  </si>
  <si>
    <t>Té verde</t>
  </si>
  <si>
    <t>Empresa G</t>
  </si>
  <si>
    <t>Jalea de fresa</t>
  </si>
  <si>
    <t>Mermeladas y jaleas</t>
  </si>
  <si>
    <t>Condimento cajún</t>
  </si>
  <si>
    <t>Condimentos</t>
  </si>
  <si>
    <t>Empresa K</t>
  </si>
  <si>
    <t>Empresa A</t>
  </si>
  <si>
    <t>Carne de cangrejo</t>
  </si>
  <si>
    <t>Carne enlatada</t>
  </si>
  <si>
    <t>Empresa I</t>
  </si>
  <si>
    <t>Robert Zárate Carrillo</t>
  </si>
  <si>
    <t>Ravioli</t>
  </si>
  <si>
    <t>Pasta</t>
  </si>
  <si>
    <t>Mozzarella</t>
  </si>
  <si>
    <t>Productos lácteos</t>
  </si>
  <si>
    <t>Jarabe</t>
  </si>
  <si>
    <t>Almendras</t>
  </si>
  <si>
    <t>Empresa Y</t>
  </si>
  <si>
    <t>Empresa Z</t>
  </si>
  <si>
    <t>Cóctel de frutas</t>
  </si>
  <si>
    <t>Frutas y vegetales</t>
  </si>
  <si>
    <t>Pasta penne</t>
  </si>
  <si>
    <t>Bolillos</t>
  </si>
  <si>
    <t>Aceite de oliva</t>
  </si>
  <si>
    <t>Aceite</t>
  </si>
  <si>
    <t>Mermelada de zarzamora</t>
  </si>
  <si>
    <t>Arroz de grano largo</t>
  </si>
  <si>
    <t>Granos</t>
  </si>
  <si>
    <t>Documento</t>
  </si>
  <si>
    <t>Fecha</t>
  </si>
  <si>
    <t>Provincia</t>
  </si>
  <si>
    <t>Empresa</t>
  </si>
  <si>
    <t>Producto</t>
  </si>
  <si>
    <t>Precio</t>
  </si>
  <si>
    <t>Id Cliente</t>
  </si>
  <si>
    <t>Cuenca</t>
  </si>
  <si>
    <t>Azogues</t>
  </si>
  <si>
    <t>Chimborazo</t>
  </si>
  <si>
    <t>Pichincha</t>
  </si>
  <si>
    <t>Guayas</t>
  </si>
  <si>
    <t>Quito</t>
  </si>
  <si>
    <t>Riobamba</t>
  </si>
  <si>
    <t>Guaranda</t>
  </si>
  <si>
    <t>Manabi</t>
  </si>
  <si>
    <t>Guayaquil</t>
  </si>
  <si>
    <t>Ambato</t>
  </si>
  <si>
    <t>Esmeraldas</t>
  </si>
  <si>
    <t>Ibarra</t>
  </si>
  <si>
    <t>Machala</t>
  </si>
  <si>
    <t>Canar</t>
  </si>
  <si>
    <t>Azuay</t>
  </si>
  <si>
    <t>El Oro</t>
  </si>
  <si>
    <t>Manta</t>
  </si>
  <si>
    <t>Tungurahua</t>
  </si>
  <si>
    <t>Imbabura</t>
  </si>
  <si>
    <t>Cliente</t>
  </si>
  <si>
    <t>Etiquetas de fila</t>
  </si>
  <si>
    <t>Total general</t>
  </si>
  <si>
    <t>feb</t>
  </si>
  <si>
    <t>Ventas</t>
  </si>
  <si>
    <t>0-20000</t>
  </si>
  <si>
    <t>20000-40000</t>
  </si>
  <si>
    <t>Suma de Ventas</t>
  </si>
  <si>
    <t>Provincias</t>
  </si>
  <si>
    <t>TABLERO DE CONTROL</t>
  </si>
  <si>
    <t>Control de Ventas</t>
  </si>
  <si>
    <t>&lt;0 o (en blanco)</t>
  </si>
  <si>
    <t>Cuenta de Ventas</t>
  </si>
  <si>
    <t>provincias</t>
  </si>
  <si>
    <t>ventas</t>
  </si>
  <si>
    <t xml:space="preserve">                                     CONTROL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</si>
</sst>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dd/mm/yy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rgb="FFC01068"/>
      <name val="Calibri"/>
      <family val="2"/>
      <scheme val="minor"/>
    </font>
    <font>
      <sz val="16"/>
      <color rgb="FFC01068"/>
      <name val="Calibri"/>
      <family val="2"/>
      <scheme val="minor"/>
    </font>
    <font>
      <b/>
      <sz val="10"/>
      <color rgb="FFC0106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164" fontId="0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NumberFormat="1"/>
    <xf numFmtId="0" fontId="4" fillId="3" borderId="0" xfId="0" applyFont="1" applyFill="1"/>
    <xf numFmtId="0" fontId="5" fillId="3" borderId="0" xfId="0" applyFont="1" applyFill="1" applyBorder="1" applyAlignment="1">
      <alignment vertical="center"/>
    </xf>
    <xf numFmtId="0" fontId="4" fillId="3" borderId="0" xfId="0" applyFont="1" applyFill="1" applyBorder="1"/>
    <xf numFmtId="0" fontId="4" fillId="3" borderId="1" xfId="0" applyFont="1" applyFill="1" applyBorder="1"/>
    <xf numFmtId="0" fontId="6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</cellXfs>
  <cellStyles count="3">
    <cellStyle name="Currency 2" xfId="2" xr:uid="{5EF3C318-5459-4240-BB8C-48CE0D3E99BE}"/>
    <cellStyle name="Millares" xfId="1" builtinId="3"/>
    <cellStyle name="Normal" xfId="0" builtinId="0"/>
  </cellStyles>
  <dxfs count="6"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1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Estilo de escala de tiempo 1" pivot="0" table="0" count="8" xr9:uid="{337E04D6-1D63-4330-B4E9-A562A8FC72AC}">
      <tableStyleElement type="wholeTable" dxfId="5"/>
      <tableStyleElement type="headerRow" dxfId="4"/>
    </tableStyle>
    <tableStyle name="Estilo de escala de tiempo 2" pivot="0" table="0" count="8" xr9:uid="{544DDC3D-0CAD-43A5-B480-25C435EBBFB1}">
      <tableStyleElement type="wholeTable" dxfId="3"/>
      <tableStyleElement type="headerRow" dxfId="2"/>
    </tableStyle>
    <tableStyle name="MiEstilo" pivot="0" table="0" count="8" xr9:uid="{E2F0BFB5-8166-4901-9388-6C1EFBAE23A6}">
      <tableStyleElement type="wholeTable" dxfId="1"/>
      <tableStyleElement type="headerRow" dxfId="0"/>
    </tableStyle>
  </tableStyles>
  <colors>
    <mruColors>
      <color rgb="FFC010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none">
              <fgColor indexed="64"/>
              <bgColor auto="1"/>
            </patternFill>
          </fill>
        </dxf>
        <dxf>
          <fill>
            <patternFill patternType="none">
              <fgColor indexed="64"/>
              <bgColor auto="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MiEstilo">
        <x15:timelineStyle name="Estilo de escala de tiempo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escala de tiempo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MiEstilo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grf!$B$1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grf!$A$2:$A$3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grf!$B$2:$B$3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2-4020-8025-D9731458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398351"/>
        <c:axId val="1651399311"/>
      </c:barChart>
      <c:catAx>
        <c:axId val="16513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9311"/>
        <c:crosses val="autoZero"/>
        <c:auto val="1"/>
        <c:lblAlgn val="ctr"/>
        <c:lblOffset val="100"/>
        <c:noMultiLvlLbl val="0"/>
      </c:catAx>
      <c:valAx>
        <c:axId val="16513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grf!$B$16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grf!$A$17:$A$20</c:f>
              <c:strCache>
                <c:ptCount val="3"/>
                <c:pt idx="0">
                  <c:v>José de Jesús Morales</c:v>
                </c:pt>
                <c:pt idx="1">
                  <c:v>Luis Miguel Valdés Garza</c:v>
                </c:pt>
                <c:pt idx="2">
                  <c:v>Nancy Gil de la Peña</c:v>
                </c:pt>
              </c:strCache>
            </c:strRef>
          </c:cat>
          <c:val>
            <c:numRef>
              <c:f>grf!$B$17:$B$20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8-4A23-82A9-1C5D91A24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575215"/>
        <c:axId val="2073853551"/>
      </c:barChart>
      <c:catAx>
        <c:axId val="17155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53551"/>
        <c:crosses val="autoZero"/>
        <c:auto val="1"/>
        <c:lblAlgn val="ctr"/>
        <c:lblOffset val="100"/>
        <c:noMultiLvlLbl val="0"/>
      </c:catAx>
      <c:valAx>
        <c:axId val="207385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540113735783028"/>
          <c:y val="0.28643299795858851"/>
          <c:w val="0.3938580489938757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grf!$B$27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grf!$A$28:$A$29</c:f>
              <c:strCache>
                <c:ptCount val="1"/>
                <c:pt idx="0">
                  <c:v>Bebidas</c:v>
                </c:pt>
              </c:strCache>
            </c:strRef>
          </c:cat>
          <c:val>
            <c:numRef>
              <c:f>grf!$B$28:$B$29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2-4CA0-95D8-4769BB8B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909007"/>
        <c:axId val="1233904687"/>
      </c:barChart>
      <c:catAx>
        <c:axId val="12339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4687"/>
        <c:crosses val="autoZero"/>
        <c:auto val="1"/>
        <c:lblAlgn val="ctr"/>
        <c:lblOffset val="100"/>
        <c:noMultiLvlLbl val="0"/>
      </c:catAx>
      <c:valAx>
        <c:axId val="123390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grf!$B$45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grf!$A$46:$A$48</c:f>
              <c:strCache>
                <c:ptCount val="2"/>
                <c:pt idx="0">
                  <c:v>0-20000</c:v>
                </c:pt>
                <c:pt idx="1">
                  <c:v>20000-40000</c:v>
                </c:pt>
              </c:strCache>
            </c:strRef>
          </c:cat>
          <c:val>
            <c:numRef>
              <c:f>grf!$B$46:$B$48</c:f>
              <c:numCache>
                <c:formatCode>General</c:formatCode>
                <c:ptCount val="2"/>
                <c:pt idx="0">
                  <c:v>25480</c:v>
                </c:pt>
                <c:pt idx="1">
                  <c:v>39928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4-49C6-821F-610695EC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grf!$B$1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grf!$A$2:$A$3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grf!$B$2:$B$3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2-4020-8025-D9731458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398351"/>
        <c:axId val="1651399311"/>
      </c:barChart>
      <c:catAx>
        <c:axId val="16513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9311"/>
        <c:crosses val="autoZero"/>
        <c:auto val="1"/>
        <c:lblAlgn val="ctr"/>
        <c:lblOffset val="100"/>
        <c:noMultiLvlLbl val="0"/>
      </c:catAx>
      <c:valAx>
        <c:axId val="16513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grf!$B$16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grf!$A$17:$A$20</c:f>
              <c:strCache>
                <c:ptCount val="3"/>
                <c:pt idx="0">
                  <c:v>José de Jesús Morales</c:v>
                </c:pt>
                <c:pt idx="1">
                  <c:v>Luis Miguel Valdés Garza</c:v>
                </c:pt>
                <c:pt idx="2">
                  <c:v>Nancy Gil de la Peña</c:v>
                </c:pt>
              </c:strCache>
            </c:strRef>
          </c:cat>
          <c:val>
            <c:numRef>
              <c:f>grf!$B$17:$B$20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8-4A23-82A9-1C5D91A24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575215"/>
        <c:axId val="2073853551"/>
      </c:barChart>
      <c:catAx>
        <c:axId val="17155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53551"/>
        <c:crosses val="autoZero"/>
        <c:auto val="1"/>
        <c:lblAlgn val="ctr"/>
        <c:lblOffset val="100"/>
        <c:noMultiLvlLbl val="0"/>
      </c:catAx>
      <c:valAx>
        <c:axId val="207385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540113735783028"/>
          <c:y val="0.28643299795858851"/>
          <c:w val="0.3938580489938757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grf!$B$27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grf!$A$28:$A$29</c:f>
              <c:strCache>
                <c:ptCount val="1"/>
                <c:pt idx="0">
                  <c:v>Bebidas</c:v>
                </c:pt>
              </c:strCache>
            </c:strRef>
          </c:cat>
          <c:val>
            <c:numRef>
              <c:f>grf!$B$28:$B$29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2-4CA0-95D8-4769BB8B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909007"/>
        <c:axId val="1233904687"/>
      </c:barChart>
      <c:catAx>
        <c:axId val="12339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4687"/>
        <c:crosses val="autoZero"/>
        <c:auto val="1"/>
        <c:lblAlgn val="ctr"/>
        <c:lblOffset val="100"/>
        <c:noMultiLvlLbl val="0"/>
      </c:catAx>
      <c:valAx>
        <c:axId val="123390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grf!$B$45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77-417D-B762-73D1A291D4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77-417D-B762-73D1A291D4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77-417D-B762-73D1A291D4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77-417D-B762-73D1A291D4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77-417D-B762-73D1A291D4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77-417D-B762-73D1A291D4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77-417D-B762-73D1A291D410}"/>
              </c:ext>
            </c:extLst>
          </c:dPt>
          <c:cat>
            <c:strRef>
              <c:f>grf!$A$46:$A$48</c:f>
              <c:strCache>
                <c:ptCount val="2"/>
                <c:pt idx="0">
                  <c:v>0-20000</c:v>
                </c:pt>
                <c:pt idx="1">
                  <c:v>20000-40000</c:v>
                </c:pt>
              </c:strCache>
            </c:strRef>
          </c:cat>
          <c:val>
            <c:numRef>
              <c:f>grf!$B$46:$B$48</c:f>
              <c:numCache>
                <c:formatCode>General</c:formatCode>
                <c:ptCount val="2"/>
                <c:pt idx="0">
                  <c:v>25480</c:v>
                </c:pt>
                <c:pt idx="1">
                  <c:v>39928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4-49C6-821F-610695EC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[DashBoard.1F.xlsx]grf!TablaDinámica1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265843665076826E-2"/>
          <c:y val="0.13124444444444444"/>
          <c:w val="0.89242371978144686"/>
          <c:h val="0.76565214348206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grf!$B$1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grf!$A$2:$A$3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grf!$B$2:$B$3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6-4301-8D7D-3059DAE755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1398351"/>
        <c:axId val="1651399311"/>
      </c:barChart>
      <c:catAx>
        <c:axId val="16513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9311"/>
        <c:crosses val="autoZero"/>
        <c:auto val="1"/>
        <c:lblAlgn val="ctr"/>
        <c:lblOffset val="100"/>
        <c:noMultiLvlLbl val="0"/>
      </c:catAx>
      <c:valAx>
        <c:axId val="165139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9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[DashBoard.1F.xlsx]grf!TablaDinámica2</c:name>
    <c:fmtId val="4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grf!$B$16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grf!$A$17:$A$20</c:f>
              <c:strCache>
                <c:ptCount val="3"/>
                <c:pt idx="0">
                  <c:v>José de Jesús Morales</c:v>
                </c:pt>
                <c:pt idx="1">
                  <c:v>Luis Miguel Valdés Garza</c:v>
                </c:pt>
                <c:pt idx="2">
                  <c:v>Nancy Gil de la Peña</c:v>
                </c:pt>
              </c:strCache>
            </c:strRef>
          </c:cat>
          <c:val>
            <c:numRef>
              <c:f>grf!$B$17:$B$20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D-48D7-98BB-668DD514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15575215"/>
        <c:axId val="2073853551"/>
      </c:barChart>
      <c:catAx>
        <c:axId val="17155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53551"/>
        <c:crosses val="autoZero"/>
        <c:auto val="1"/>
        <c:lblAlgn val="ctr"/>
        <c:lblOffset val="100"/>
        <c:noMultiLvlLbl val="0"/>
      </c:catAx>
      <c:valAx>
        <c:axId val="207385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[DashBoard.1F.xlsx]grf!TablaDinámica3</c:name>
    <c:fmtId val="4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817891513560805"/>
          <c:y val="0.28643289588801402"/>
          <c:w val="0.3938580489938757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grf!$B$27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grf!$A$28:$A$29</c:f>
              <c:strCache>
                <c:ptCount val="1"/>
                <c:pt idx="0">
                  <c:v>Bebidas</c:v>
                </c:pt>
              </c:strCache>
            </c:strRef>
          </c:cat>
          <c:val>
            <c:numRef>
              <c:f>grf!$B$28:$B$29</c:f>
              <c:numCache>
                <c:formatCode>General</c:formatCode>
                <c:ptCount val="1"/>
                <c:pt idx="0">
                  <c:v>65408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F-44BD-BD44-6DA7F110F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33909007"/>
        <c:axId val="1233904687"/>
      </c:barChart>
      <c:catAx>
        <c:axId val="12339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4687"/>
        <c:crosses val="autoZero"/>
        <c:auto val="1"/>
        <c:lblAlgn val="ctr"/>
        <c:lblOffset val="100"/>
        <c:noMultiLvlLbl val="0"/>
      </c:catAx>
      <c:valAx>
        <c:axId val="123390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[DashBoard.1F.xlsx]grf!TablaDinámica4</c:name>
    <c:fmtId val="4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253025302530254E-2"/>
          <c:y val="0.25719790026246714"/>
          <c:w val="0.71305882556759614"/>
          <c:h val="0.69835765529308835"/>
        </c:manualLayout>
      </c:layout>
      <c:pie3DChart>
        <c:varyColors val="1"/>
        <c:ser>
          <c:idx val="0"/>
          <c:order val="0"/>
          <c:tx>
            <c:strRef>
              <c:f>grf!$B$45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DA9-4F3D-9E02-3D49F021BF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DA9-4F3D-9E02-3D49F021BF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DA9-4F3D-9E02-3D49F021BF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DA9-4F3D-9E02-3D49F021BF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DA9-4F3D-9E02-3D49F021BF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DA9-4F3D-9E02-3D49F021BF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DA9-4F3D-9E02-3D49F021BF6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grf!$A$46:$A$48</c:f>
              <c:strCache>
                <c:ptCount val="2"/>
                <c:pt idx="0">
                  <c:v>0-20000</c:v>
                </c:pt>
                <c:pt idx="1">
                  <c:v>20000-40000</c:v>
                </c:pt>
              </c:strCache>
            </c:strRef>
          </c:cat>
          <c:val>
            <c:numRef>
              <c:f>grf!$B$46:$B$48</c:f>
              <c:numCache>
                <c:formatCode>General</c:formatCode>
                <c:ptCount val="2"/>
                <c:pt idx="0">
                  <c:v>25480</c:v>
                </c:pt>
                <c:pt idx="1">
                  <c:v>39928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A9-4F3D-9E02-3D49F021BF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Graficos!$A$2:$A$3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Graficos!$B$2:$B$3</c:f>
              <c:numCache>
                <c:formatCode>General</c:formatCode>
                <c:ptCount val="1"/>
                <c:pt idx="0">
                  <c:v>150262.9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3-4E58-ABBE-50FF676E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838271"/>
        <c:axId val="1533832863"/>
      </c:barChart>
      <c:catAx>
        <c:axId val="153383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3832863"/>
        <c:crosses val="autoZero"/>
        <c:auto val="1"/>
        <c:lblAlgn val="ctr"/>
        <c:lblOffset val="100"/>
        <c:noMultiLvlLbl val="0"/>
      </c:catAx>
      <c:valAx>
        <c:axId val="153383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383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Graficos!$A$17:$A$22</c:f>
              <c:strCache>
                <c:ptCount val="5"/>
                <c:pt idx="0">
                  <c:v>José de Jesús Morales</c:v>
                </c:pt>
                <c:pt idx="1">
                  <c:v>Laura Gutiérrez Saenz</c:v>
                </c:pt>
                <c:pt idx="2">
                  <c:v>Luis Miguel Valdés Garza</c:v>
                </c:pt>
                <c:pt idx="3">
                  <c:v>Nancy Gil de la Peña</c:v>
                </c:pt>
                <c:pt idx="4">
                  <c:v>Robert Zárate Carrillo</c:v>
                </c:pt>
              </c:strCache>
            </c:strRef>
          </c:cat>
          <c:val>
            <c:numRef>
              <c:f>Graficos!$B$17:$B$22</c:f>
              <c:numCache>
                <c:formatCode>General</c:formatCode>
                <c:ptCount val="5"/>
                <c:pt idx="0">
                  <c:v>21685.5</c:v>
                </c:pt>
                <c:pt idx="1">
                  <c:v>39894.400000000001</c:v>
                </c:pt>
                <c:pt idx="2">
                  <c:v>25004</c:v>
                </c:pt>
                <c:pt idx="3">
                  <c:v>39928</c:v>
                </c:pt>
                <c:pt idx="4">
                  <c:v>23751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3-46A2-99DA-3CA1A7A19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731295"/>
        <c:axId val="1520732543"/>
      </c:barChart>
      <c:catAx>
        <c:axId val="152073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20732543"/>
        <c:crosses val="autoZero"/>
        <c:auto val="1"/>
        <c:lblAlgn val="ctr"/>
        <c:lblOffset val="100"/>
        <c:noMultiLvlLbl val="0"/>
      </c:catAx>
      <c:valAx>
        <c:axId val="152073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207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Graficos!$A$29:$A$36</c:f>
              <c:strCache>
                <c:ptCount val="7"/>
                <c:pt idx="0">
                  <c:v>Bebidas</c:v>
                </c:pt>
                <c:pt idx="1">
                  <c:v>Condimentos</c:v>
                </c:pt>
                <c:pt idx="2">
                  <c:v>Dulces</c:v>
                </c:pt>
                <c:pt idx="3">
                  <c:v>Frutas secas</c:v>
                </c:pt>
                <c:pt idx="4">
                  <c:v>Pasta</c:v>
                </c:pt>
                <c:pt idx="5">
                  <c:v>Productos horneados</c:v>
                </c:pt>
                <c:pt idx="6">
                  <c:v>Tarifa de envío</c:v>
                </c:pt>
              </c:strCache>
            </c:strRef>
          </c:cat>
          <c:val>
            <c:numRef>
              <c:f>Graficos!$B$29:$B$36</c:f>
              <c:numCache>
                <c:formatCode>General</c:formatCode>
                <c:ptCount val="7"/>
                <c:pt idx="0">
                  <c:v>65408</c:v>
                </c:pt>
                <c:pt idx="1">
                  <c:v>24640</c:v>
                </c:pt>
                <c:pt idx="2">
                  <c:v>9337.5</c:v>
                </c:pt>
                <c:pt idx="3">
                  <c:v>25452</c:v>
                </c:pt>
                <c:pt idx="4">
                  <c:v>23751</c:v>
                </c:pt>
                <c:pt idx="5">
                  <c:v>1674.3999999999999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F-44CF-99DC-3CCA0640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883215"/>
        <c:axId val="1769867823"/>
      </c:barChart>
      <c:catAx>
        <c:axId val="176988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69867823"/>
        <c:crosses val="autoZero"/>
        <c:auto val="1"/>
        <c:lblAlgn val="ctr"/>
        <c:lblOffset val="100"/>
        <c:noMultiLvlLbl val="0"/>
      </c:catAx>
      <c:valAx>
        <c:axId val="17698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6988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Graficos!$B$46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88-6A44-BCC8-61F709D171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88-6A44-BCC8-61F709D171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88-6A44-BCC8-61F709D171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619-449D-997B-5381519AC1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619-449D-997B-5381519AC1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619-449D-997B-5381519AC144}"/>
              </c:ext>
            </c:extLst>
          </c:dPt>
          <c:cat>
            <c:strRef>
              <c:f>Graficos!$A$47:$A$50</c:f>
              <c:strCache>
                <c:ptCount val="3"/>
                <c:pt idx="0">
                  <c:v>&lt;0 o (en blanco)</c:v>
                </c:pt>
                <c:pt idx="1">
                  <c:v>0-20000</c:v>
                </c:pt>
                <c:pt idx="2">
                  <c:v>20000-40000</c:v>
                </c:pt>
              </c:strCache>
            </c:strRef>
          </c:cat>
          <c:val>
            <c:numRef>
              <c:f>Graficos!$B$47:$B$50</c:f>
              <c:numCache>
                <c:formatCode>General</c:formatCode>
                <c:ptCount val="3"/>
                <c:pt idx="1">
                  <c:v>61943.9</c:v>
                </c:pt>
                <c:pt idx="2">
                  <c:v>88319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1-4532-AFBF-36902CC0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Graficos!$A$2:$A$3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Graficos!$B$2:$B$3</c:f>
              <c:numCache>
                <c:formatCode>General</c:formatCode>
                <c:ptCount val="1"/>
                <c:pt idx="0">
                  <c:v>150262.9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9-4DAF-AD69-92DC00E70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27"/>
        <c:axId val="1533838271"/>
        <c:axId val="1533832863"/>
      </c:barChart>
      <c:catAx>
        <c:axId val="153383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3832863"/>
        <c:crosses val="autoZero"/>
        <c:auto val="1"/>
        <c:lblAlgn val="ctr"/>
        <c:lblOffset val="100"/>
        <c:noMultiLvlLbl val="0"/>
      </c:catAx>
      <c:valAx>
        <c:axId val="153383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3383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Graficos!$A$17:$A$22</c:f>
              <c:strCache>
                <c:ptCount val="5"/>
                <c:pt idx="0">
                  <c:v>José de Jesús Morales</c:v>
                </c:pt>
                <c:pt idx="1">
                  <c:v>Laura Gutiérrez Saenz</c:v>
                </c:pt>
                <c:pt idx="2">
                  <c:v>Luis Miguel Valdés Garza</c:v>
                </c:pt>
                <c:pt idx="3">
                  <c:v>Nancy Gil de la Peña</c:v>
                </c:pt>
                <c:pt idx="4">
                  <c:v>Robert Zárate Carrillo</c:v>
                </c:pt>
              </c:strCache>
            </c:strRef>
          </c:cat>
          <c:val>
            <c:numRef>
              <c:f>Graficos!$B$17:$B$22</c:f>
              <c:numCache>
                <c:formatCode>General</c:formatCode>
                <c:ptCount val="5"/>
                <c:pt idx="0">
                  <c:v>21685.5</c:v>
                </c:pt>
                <c:pt idx="1">
                  <c:v>39894.400000000001</c:v>
                </c:pt>
                <c:pt idx="2">
                  <c:v>25004</c:v>
                </c:pt>
                <c:pt idx="3">
                  <c:v>39928</c:v>
                </c:pt>
                <c:pt idx="4">
                  <c:v>23751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6-418D-AE44-7C2B22CCF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731295"/>
        <c:axId val="1520732543"/>
      </c:barChart>
      <c:catAx>
        <c:axId val="152073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20732543"/>
        <c:crosses val="autoZero"/>
        <c:auto val="1"/>
        <c:lblAlgn val="ctr"/>
        <c:lblOffset val="100"/>
        <c:noMultiLvlLbl val="0"/>
      </c:catAx>
      <c:valAx>
        <c:axId val="152073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2073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Graficos!$A$29:$A$36</c:f>
              <c:strCache>
                <c:ptCount val="7"/>
                <c:pt idx="0">
                  <c:v>Bebidas</c:v>
                </c:pt>
                <c:pt idx="1">
                  <c:v>Condimentos</c:v>
                </c:pt>
                <c:pt idx="2">
                  <c:v>Dulces</c:v>
                </c:pt>
                <c:pt idx="3">
                  <c:v>Frutas secas</c:v>
                </c:pt>
                <c:pt idx="4">
                  <c:v>Pasta</c:v>
                </c:pt>
                <c:pt idx="5">
                  <c:v>Productos horneados</c:v>
                </c:pt>
                <c:pt idx="6">
                  <c:v>Tarifa de envío</c:v>
                </c:pt>
              </c:strCache>
            </c:strRef>
          </c:cat>
          <c:val>
            <c:numRef>
              <c:f>Graficos!$B$29:$B$36</c:f>
              <c:numCache>
                <c:formatCode>General</c:formatCode>
                <c:ptCount val="7"/>
                <c:pt idx="0">
                  <c:v>65408</c:v>
                </c:pt>
                <c:pt idx="1">
                  <c:v>24640</c:v>
                </c:pt>
                <c:pt idx="2">
                  <c:v>9337.5</c:v>
                </c:pt>
                <c:pt idx="3">
                  <c:v>25452</c:v>
                </c:pt>
                <c:pt idx="4">
                  <c:v>23751</c:v>
                </c:pt>
                <c:pt idx="5">
                  <c:v>1674.3999999999999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7-4293-8F1A-92BFCFFC6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axId val="1769883215"/>
        <c:axId val="1769867823"/>
      </c:barChart>
      <c:catAx>
        <c:axId val="176988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69867823"/>
        <c:crosses val="autoZero"/>
        <c:auto val="1"/>
        <c:lblAlgn val="ctr"/>
        <c:lblOffset val="100"/>
        <c:noMultiLvlLbl val="0"/>
      </c:catAx>
      <c:valAx>
        <c:axId val="176986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6988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[DashBoard.1F.xlsx]Graficos!TablaDinámica9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Por rango de valores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Graficos!$B$46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DD5-47DE-9EFF-2FDAA7CB4C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DD5-47DE-9EFF-2FDAA7CB4C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DD5-47DE-9EFF-2FDAA7CB4C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BDD5-47DE-9EFF-2FDAA7CB4C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BDD5-47DE-9EFF-2FDAA7CB4C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BDD5-47DE-9EFF-2FDAA7CB4C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Graficos!$A$47:$A$50</c:f>
              <c:strCache>
                <c:ptCount val="3"/>
                <c:pt idx="0">
                  <c:v>&lt;0 o (en blanco)</c:v>
                </c:pt>
                <c:pt idx="1">
                  <c:v>0-20000</c:v>
                </c:pt>
                <c:pt idx="2">
                  <c:v>20000-40000</c:v>
                </c:pt>
              </c:strCache>
            </c:strRef>
          </c:cat>
          <c:val>
            <c:numRef>
              <c:f>Graficos!$B$47:$B$50</c:f>
              <c:numCache>
                <c:formatCode>General</c:formatCode>
                <c:ptCount val="3"/>
                <c:pt idx="1">
                  <c:v>61943.9</c:v>
                </c:pt>
                <c:pt idx="2">
                  <c:v>88319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D5-47DE-9EFF-2FDAA7CB4C3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8772916032624"/>
          <c:y val="0.24928032136370459"/>
          <c:w val="0.27735427582927269"/>
          <c:h val="0.46917903513313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2C031E15-661C-49E1-A485-691061FEE4B5}">
          <cx:dataId val="0"/>
          <cx:layoutPr>
            <cx:geography cultureLanguage="es-ES" cultureRegion="US" attribution="Con tecnología de Bing">
              <cx:geoCache provider="{E9337A44-BEBE-4D9F-B70C-5C5E7DAFC167}">
                <cx:binary>1Hzrctw4suardPj30o07wInpE7Ekq0qSZVm+tu0/DFmWeQOvIEgQ77Q/9hnOi22W3faoqGrVeGZO
xLYcbbtFsRJ5z/wy4b/fur/d6rub4RdX68b87db99iQfx+5vv/5qbvO7+sY8rYvboTXtl/HpbVv/
2n75Utze/fp5uJmLJvuVIMx+vc1vhvHOPfmvv8OnZXftZXt7MxZt89LeDcurO2P1aB55dvTRLzef
66JJCjMOxe2If3vyv729WZ78cteMxbi8Wbq7354c/MiTX35df9ADor9oONdoP8O7AX2KOGGMYxH+
8fXkF9022ffnMnxKaMixJBh9/SLfiV/d1PABJ8/z9TQ3nz8Pd8YAN1///PHawdF/fPe2tc24F1kG
0vvtyebW3nxuhye/FKaNvz2K2/3hN/FXbn89FPd//X31DeB/9Z17GlkL69SjBwrZmPpuuNGfb8x3
wfz7WkFPJWVUYKW+K0U80ApVXCmJ+VGt/HOHOq6a+++u9HP/0V9KSfFNcwMG9B/zGvKUS8YUw384
BQKvOPAa9TRUiAkl+Xeq39wlvvnv//v4SY4r5ft7K4V8//ZfSxl5UX9qhxvffpfNv+8xAX4aErH/
hb+7zAONSBJKRdAfz9l34n8o5p861J8o5967awXde/SXUtJG//Ji+E8qiD7lFNwlpHSlmPCpopQS
9F1zK485fZDjSvn+3koh37/9l1LGzt4MN83nm+8m+2f+8j+Y5uAIy38yxQWriKnQd+a++eNpesfV
/v29ldq/f/svpfbz+tPNJzucVPth/fNYuYeeUsmp+BEEw1CtvFE9pZwLRegf9aA8VMs/c6TjivnH
myvV/OPBX0o5z6Gk+FR8l86feeQ/r5oAij6o6BBh8ltJhxA+1I1CTyFIQh0u6LefWEXKryf67//z
2JGOq+bHiyvN/Pj+X0ox18VtXjTQjD0miJ/skkDyXDEV/iH4vfhXypHgOEQxKtUfBcbKcf6pUx1X
z71XVwq69+QvpaI3tskgruX2P6kj/JRIwRX0qoduA5phkjNB1fcW97thfMs0/9xhjqvm/rsr3dx/
9P+1cv7scPebpYOf+VmIAT+lNJRCSCi5D5qk8CkVApRCyLd4Bor7RvSbYn70/X9+kuNa+fHiwbH/
x4GEP6++fqTk5Ga82XyFbu7hDI8//coioEmrVw962QM+vwvx/PNvTwTgBj/woP0nPCbg7y/c3ZgR
kCHJn+KQhQJzJhXHXEDFNt99fRSSpwiFWCJOCSHi66OmHcb8tyf4qVCYQo/FMGMM9P7kF9Pa/ZOA
P0WYcvajMf7O2XWrl6xtfojhj///pbH1dVs0o4FPhTKl+/Zj+1NyrKREcKqQQdANocuGVNjd3rwC
LG7/0/8rcK3NK+KDja/arZXVGzrO8VB/aTg70y48b5ud1TdN807LSyWnDRZDNLr2vA/szvVkl5Nh
g9xyfk98R44F0l2dKkTQy+BQMSYZIftT3zuVbl2q+jAINxapLp5c1cSzGcONyandFCIMosfpqQdi
UAhRCVUcSEKAKsCD7hNMPSsnRLHYFF6bIOpFw+urUXiRRlNedTTKKBuGaG4CaWKBbJlHWdUErw0u
PUpwaqYmclmvr6xfiiGqsxTxCFluymhGJniJ+3z8va9cOmyaqlRVRAXCXdQ7Rt53zpdZlE25/z0v
R/4xsNJluzRcli6ZlJrL140JPd7UhPshKtuiT7d7TsTGaGtwlAWM5zsxo0FHXTgU6oL2e23qsqmm
iHsyvkoNljhuF+23ncMT3xVeZbtALCVPdGA122qS221eZ0hEbUfFRd/qZt4VPe955GxT/p7xmtKI
sByLpCmb0kd6mu2Hnokgi0rT59suLacsajHRJsk7KdqkqNhQRw13YRmJMB3HOMyyfoxyXHsUl1Pb
jFuWM8Fjli7+VqW9y6MwNX14UWUd7+KiljKMSmraKmmyeXlhqLLdRpAFxMto2eWRD3QroknJetxk
QzinUZMHPI9tEHARIaT5W+v7YYldq8Q7F/QNi2c94/EsQ115hQMy+RPWFK6tVyEVYkWhgqEIwjX4
+31jCmxZaFcvdMMKas4F0uGV0D3qojbALIhT7brzMSjDOtLaki5GE0DUJ87w0KAxVpiFaA+dISWh
K7x/BkOyTmks8KYdZL/EuhiNjv2kSHnhZVOBpQRzzaPUod5FTqrQbB93KQxwxH0f5hLQcIVBPxwR
CGJ8dQJvlmCwvkKbuZjpG1v15rrMzZwsth4u7WSb81BnzTbFRRj7tFCXwezmSKZ1E3udZ0k+jfIb
bv2tNzgSViBPHh4J4HdG4EQhAcSR8H3YuRdWZCC6YkElTnKc6uchG+yLkIvh7eOcH6UiQhyikEgs
2P75PSqZy0hZ2gInhLrm2VI0eqNTTzePU8F7+d2L3Hzff2IwMwwtJg2R3Mv/Hpm+RGPapsBM11bq
OpwUf2WHkd1hliXWK3YVLuF7CM0s6Vhm4rGv8hNRemVjD06wYlThFvnSVTiZHf4iWdMlrRmnuCx8
1IpexnOWLlHZL82Lx1lf+dcDuquclS5ly4qixsmU2/nCdyK4KHv2sc97m0Vj13fbrsyWz0sjijyu
UbtcP05/lZ2+0ifQYeJQUEzB0Q8lHzRB2WUsQAkYdbZNWZ3Gec7ttXRGX8iFik+P08P77LNWNWUk
DDnBYFIKaoH7qi7aoE6JFygh4VBtApXLxKCOvM21QDGRrjznugpfTl0wXXnM3d0iavma68yNJ8LK
Q9umIczoJOFQlAD7Kw9qEQTnBYZgSVouaQQ+Rl6xfqlePs7wnp8Vv+ChJOQSxIul2BvAPdOeVYtp
2004KRkq34zh4s+bysk3PPdhtLRg4VGW6/T541Qf8sZg0kAkkdB+Iii9DqnaIFwq3YE5826EPJvb
auOnYjoRg/bGecgbQxwkFAIAAb+zVWnTthlfQJ0oYdLkW1e7ftdOEBFrXOoPjzP00E4ZEiEJ94kI
Ecjwhwx5lUONpUKU+Hyanzfh3L4LXGOjqgvYpu2y8vJxesdYkwQxsodfFCErAQbO8aaZFEraou13
fAo0VJVzmVhX5ydI4RVvEJYh6JEQMfS1sGar7JJLMXSoysRm7M3kNxluhI14x9tPdEn7KW4FqYYI
q36akrlk8xlBpm2SJeu75bKWHRo3Y9a76zkbU7upuhGx566QC4myOYCc/FOSgdNCZS0oYYruhyd0
VRHYbGRyaEuyKXTqEjoubVKNpdsi2mQnPJSs8sI3WkoCwoKhooffDrWOvfW2qRayscKij7N3ZRfN
KTdvh8aGQ2yWRpHIV7mmu8I5msVVptgFluW8xCpkaIjMWFUuEYUPb+oSksuWVaka49pR9sYYjZpI
tIawxEueNlGKF43Pf1peUDYxgSQHcUEvcMhDVYUO86agG7xQdUk0VReeDMszOVX21eOkVrFmLy6I
ZlDbY04ArkWr2Nr0uakGAemZjTneecz8S+5TA4VlOZgNblD6hvelPRHhyF7j98LAV7KUQz+PJINY
IFa+2VqFwBRruqmbwrwq+z5t4moYgi0e0tZvxgFPeSwlc+dj5fAcjzXBfVym+eiiippGnI1+wDKi
qRcXhSh9u7O2KHZ8qGsbTyYsmgs8E82fuUzLZgdD8L5M1DgpHVW4VHPyuBhXwfMrPwLLEFRGJJX7
Hvd+yG7UOJsZQZdChmx8HtouTKTz+Qkq+wiylpogChQlGLTNX2uie4kh7eq57pzCGz02+lJMVnxu
RSmyTTGq/IKmdb+t+OwvG8vCNxYS04kUcYR+CJ6MqWCcAo65qjxqSLqmLTlEz6y5HAb6rCPsIpf9
VS+Ku9oyGzVKvmO0u31cug+jHfSmgoFTKy5hmWHlD30TkKKZEd/UHZ02lR/MOer0HIupLzZjIOVP
y1lBsCIgZAghMAheWWfNehFmQUs2lbPDZdhS/ZrVeXNeQRtdR6zI6SYMSLBj4TLHsmAiPxHF1iUP
2BO0/uAbDLoHWM8gK47TomAFkT1wnM/paylrNcTLvIwCWtxxKaDNlBOgEALPOmorQcsYtYUNI0Gn
5m1fCD7Hj6vgoYEDdiPB5AAFAOHQVXIbcqjCg4GyDTzlseqbL9QrfYLIV7b+YeCC7hchAImRIfzJ
4WvFtuTBaJouRBtUlamPSCb4bWdy7BKVNpJtawju10WDOfSOIwzpE1MxRXYzavIvwnX6g8RhqyNp
ne+ioOYhtPNImmd56AuzpWXREIBwWlzHLPf6d1NVvj7LKlUWUdZWKI8KiYNg+7jo8KHsvnIlYIdD
SUH3hQ9bmVOYpW3XFIxsJl1vTUagkC3FHGFbi1vvvEORxzr4WCxODlEw9XY3tqULI+wLtzG+IzEr
Gv6SqaB6+/jRDksWOBkFiCkEsGV/OCbEqowIA1D2Ug0yUbLok2lU1EUEIJyXKsP83U/SYljB3IlJ
wNkkVEkrKVg790YSIhMJmTkZVFYndvR97CRyJ9znAVv7ZkEgAk24pOA9q2gc5mxc/GJVAngSvazc
LDeA3Ew7LrU80Qyt+nwQ4Z4WIJgCVMsh8u9j172YrGmmkO+AFmq6Kw+ngoBkp9jWWN6GFAAvRQFD
aidvt8iG5CIXZRWFfYUiastu21cZO9EfPuQeyndI6pBZ913TV7Dv3onIODQUGwncB2zZGjxyAPRm
ca6GZfppQR+SWkUFyQZEGg2kirwdNgugGrE0GgLl6LMTseGwUNnLGQBKvF+UApUyRFd1HVFlHaZW
icQ3aLqe0LC8a2UWvPJuUS8nk+Gk0g09kfAeuu6eKmRcsFxYzYT0c6jdYWmWPJxKCZXzLF9XqAyi
0LHyPPSGnGU6VXEnWxPRfGk3ojD5JcT09joXxfB5wgPh0RTy6ZXXPfl5JUNbIwTbw8QM78eI983O
N1NZNdUok1m5cNv1o0/cYOftUKRo87OOSwGKB8FTxKWU635/brOWzbWQSe1bdEYzI56TkFRXqJX6
7eOkHkRKtie1x/v3eQbAoxVXuOtb8GwgZYSMuYaIjLLlVHg4BG6+mpKCT4dFL+jSgM6Kigj40DGa
yiR3UpdbUmL+gZqseebqkvtoIqF9IdrGP1NTak6Y8SqzfyO+34GliHGxnwYfsmiyyrM8szLxgtoL
QNLtNqt69kLUaZfoOg93meL8HcAaelvLXp9D5V/cZHLu+xPOe1jN/XESAoMG6MoATVvPPlCTpV3o
Ggk49aKfG59Wt0b07qp2ypzRBi1b2ZLurZyRfdMZ2zx7XNdHHBrWQ8CnIOZ/TfmHgqgKj8qxCkQS
8sA9qwNE3zlm021pxzdQ+dstr2z+/nGaR1nmGPb7MCSgB5lYNGIJlKtl4lrt4yokgNlB83ve5Sr4
BOl1eeYZrt/NZnG7shbuzePkj0RmBdCRgKISAwgrVjHMVrgqQ9fLJFW43+aK2mtXV+nzkRD7+XFS
eJ/jDkopcKX7tFahGXXtPCjtZTLxeoigBecXbWnoLgts/2wR+XAmK0kBjffTSy7n9AplrvrQ0FY8
t9WS/wsxBHAR8G2YDUiYCxwqe2FLZosZbA0t/ZyMPcRRlLVfoBhy/yaldWAMsqapAqDU6HCJUwDa
Ng0uMIxrUJ+ckPH+sx7K+B9creoMjXA6aW1kgjsxv/CizjZuqcmLnBVRJ/pyo4Y2jHUvUx2bgk7P
h3neai1O9YVH7WrfMQA2Cbg+2T+/l/EtAJUM0oFM6LQMieepj8k80q3DhTrB8zFSlAKuj9keApYr
s8pTs2BtIHzR3LGdHka+Jb2jiQZ45+xx8R52fd/iE9gLDyWDFXaYWxxyFepOBcJBcTo3MF5kuWg+
hmiwz1jI6q0v5HjxOD12RJuQeyAgMgqwyDqlZouFBsG2oM0ey9jCVCpuCXEnEsCxEERhqisAS4LZ
0Br5kDWrSY+BivfYXPSzD65oDlhdgAYaDU2VxeFY0Oc1o80VnWdzIugfi7r3ya9M1lEj5TDtgz4H
3F6bXG11JepdPnMUV1AvxwAUlbt/QbIcUFhADQBzXQPafMpQG4AbgCZZmWjW6PMFqpcTVI6aJmfQ
RFIo/AHxPbSXoNB1xySwVmqkdqpxfIcyG0mZ8hNCPBpcwacAIAC0HMDNFalqgPqkgj4nqUINFhL0
gIOIYnRnurJJkxbLxpGp3Xp2Nla2e99z6W9gmI6WTQd47gmLOuonksG4APZfYEKy8v6ODXIcDEi3
nKDHRPPQP2c1DZ+bkvaJnUd7/i9o8x69VceD8qVxMOwH5vOwi/sxYxEBeidkfMwbARoUABoLqPn3
Sz/3Y1paT0FLEcRWo4P6FR7KLAnmHP0LvNynspLd2Mw1LnwHPi98vrNZK7em88XmcYkd83ko1Ol+
GM2hDV7xYhygl00APl/ofrhYZFYEUdWX84dpgfFZ1NKiB/QOeuZIDj3GO00me+IIe0ZWqQqGLUxK
WJ+Cv6ybQh2WNJ3qRiVuzuwzm1u/Tfu8ihuYor97nNsjIQaW52Cfh3EG+Pt69i5QOiAXtECKZM2H
SQ8u8oAZGdN2HwdIYVvdpmj7OM0j1gI0Oay8cmjToOc/tBbjliDQC9DMit4neVniC7ivdmp4dZQK
AXOECRnnDzKSnIT3y6BVYk3TJIq0X2hP9QnDPyo+WBmAL1iggBx7yIo21C4Cg6YKWssU8oKqNhQi
3gcvLXkB+HL1ci4xPUH1KGsAvSkQHlyi4CsBQiVORT4B1R6wieeAt7JnVX5ykkuOWCGHq2Z7bIZA
Z70KHYb4wtYBhtAxu2pXWTn8Prqi3aq89pddMI5vSk/9rm/QEAdoJruqI8u5IbriUdD3pyCpo6Lm
IoTtM9gcBHTzUNQT1qjlEppoAHfDJYIrmm5LZ9LvdLeMELrr+fnCKCz4PG6sR8JBCPOwH2T3UrpX
ruVFLgMommTCl9lsSDeldz7o5KYawz6ps75cIkmHMJoVX+LRqeIE/SOYFVzFBHgIw20Z2JokKzUU
xmWjbjOVDI2r3kGCs3WMBz7SSCsjb9TE58/eCL9E2Yjwm5Y07CbQMEaNxtrX7abzPEMAcUmYxjwu
GnxUNoBsAMQDV0lhlnoom1GMOXUYEACoX2FxxApURWTUwRV0y+qq0AF+7yzblWbUcUlSv+m5XaLB
iuWNnxm7M0P6QUqdxkFZsPM+zMotKlT5ohDFXES5SqcTENExx4ERHcwlIHTtVxQOD7xwHaiacZXA
tguNRSbzc5Sm4kSOP2apoQKkEbYCoI1SK431edPDxLMEjemJRl0xBy4KZTpvMc3cLmwWksVZG3h+
gu7DtMHAM/YAMcC2ULvtub9nqk2TlaUMoYtQuMviHJZ7NoPM9bYcuyx5XPUPURkgRWGwBItJ0GGs
NT+XXWBDWHhL0NzU12a2uIrKeXIO1pUUrTcVReWlHZGsP8pqcqc2xuje2Q8zJJgcge1umDBR2DPZ
W+Y9VufOLnWtsjSpbGpZXBV9dVcFFmoo2DZkV6UmYRYVFolLXjbOb8Q4vw5QDaNSQ01XRKzJvdiE
yNYqYYMv54gEtXSREd0yxCkfy2yH+ondFN51U+x8mo5byJDkSi1ZVUZEFsO8ySQaXkFpTl7ugckb
k02Bj7HXbbutGzOwqK1796IZS9OeqBAeGjJDBMAgWNwCcwWg+pD/EKbMpCmh3ap4MW9MK8tXA6Cc
P41bApX9Xgb4CiStdR3SWV7wLKwAexssTHUaH265n+4qUrsTOxLH7IkANxDe9nPZNXSrYM0wNBYo
wc5qdy5LSt4i6+mWdgOAfIGz/ReyjJs54PTUTOCoKBVAakpwsOivqPI9UyJjxeqaA2oMTR1uo9l1
ZgN5tdhRtMj36Zz1Oym6LsqUNNupgFQ4wKz6GQQ1vClrWBoLqvQl79L55eMudqRv2be30CXsN7fg
LysAajQccpyeAIBaDKcwdjLktYB10DcwB2JXjndZDbsRWN8uGQ2maBgVLE96BU4YOxdkfVwLu/w0
DghnYtC77Jv8/Wz50O6KVOShCBeZgFW2V7oc08jayX/GrG0T13uvo77OTm3QHAtscGkAWjeoh+Ha
6EoSA8nBCRmHktzXc5wR3myhj/qMHVYnQuhqVwdwDA6lBRFgClAUw1boisEhxSYMAelMeqT0hYJ9
5aijLnsF4cZeFqoobRTkM/kI/+xDvbUlt7u2UQyw4L58RXzd3aqe5Z87R9C1CFzfRtqw4kTwfZB2
92cEw4B1KPAVvMbn0iwL8g4W6JKea3dt+RDcpkOa3phK+DEyTZGjXSdy98XC0d4vxJvd46b5wGVW
B1iVYsPcqJyzJkis1bBunodv/ZSfQiEfhIQ9EWjAoLDGRMG+xqGplaPk5Qh5JilVcAmjvItK0yZ2
Ab0c+PRsZPwVN8OJ+mCv3YO0sqcJW7DQcwGuBH87pDn3rMtFUASJElBlRnNWZxD2xADdbL+DewjB
+8cFuVqM/cPclNpX2dCFsf2F2Pt5jAewwSgDmSYS2TTJbMaT0oROR0vJhi9uqvtPTRtyWO6rp2jp
YY9Q1Kea9wfetWcaCob9vgbcplr3MA7sLM94GyQFbMlGOQQ8mIAifmU7271+nN+jhnOP1Kr+ghln
BgszYDhN49hFKfNXvsb67HEix5SoYMYL/31d8FsRWSSbXBaUQUKIztNN4zuvItUrtEtrg353sOn+
5XGKDwo+6GZBSiEED1iXhOsMh1oMzLLAFlYfApqUmmdY6eW5NFK/1C4risjbUm8bz+sTYeAU1VWo
qtIxm/QyhMkUhu2Ww4LRF9Jn2bY34ZTArbnuMlhMeiJdPtQgZBdYCtxfEOKwI7ESbl95L1xO0oSV
hXzGUCMuMc70+eMCfej7QAV2U6DECaG4lCvWZggvypMpTXSIlyjMJ9i7zxlMbIvZiwiWbOtsV1fL
MkdtqYsT9vOw44J/GEfBxUEeAnaOoMQ8VGcVQMmoW54mS0jKK7Nvs+KpGfs3gppL0tc4bnTfnS8m
l69lX4U30KKhrYBZ/sWiDD1nvdIn6r1jAoFSDy5ZwW2A/bLk4ZG6ghdDM/RpUg6hgk2/tjpzkop3
6YDHNGak5c/7Rsx10hBfRo8rAxYj4NPXYRFuiXCIErDK+mAldMb1Alc0pmyT01E9y/ZbbXHmWm83
pewQgu4fqp9WdvxFmWFnIuhOHVwVKWaNwPGIKKF4CoYhqngv+K6xXUHhogzSv0O2z3+HAex1m9LQ
Rh0Mf9gmN/nAo7yiTROHadvDWLkNlmKTFi17n1sb5jtHWwmLGa0ZrnuUUhY1AZ5fMj6hF5YOVRGV
qB5sXAF80UahCXSV9EZNIoKxGexL25rCUlKHQPtRPUz0M9y2cF8a2L6/DH1lwk0lh/J3N/JmiBqY
8gLO7jx7TbulfTfACgzw0y39O15J9DydpGuiXodNGPWUw+9N6mGYtTRS67iBhfdbPzqSR1yMwRjB
PSBRwEWXlrkLiaZpjMZ0WPIYt3PnAAwvxrOw1j2PpVc19MCis9llwMkCa+xo6D+FQmVZInqPzmFV
xf7uYEm63IwdLWgiOtXmL4OZmLhWZaXeVHQZqmnTz/3QxIAlqWmKuQrOUJ+FsIPR2AH7pPP1IMlb
DLMiaIwk8Ff3iYJ1gX6Oed2lb4uMwoijUKh9g/NMKbyzctQ1DAbnoY0amvc53ImqZ73BeRXSGKWy
EgkXFg9RpnOYlAQ9kjejy6uPwwTDr7hEYa9jqpnzcIlGcai6bTWPUc0d9P0eF5WJsSzc3cQpetnB
QPounys5RkjUSMc6yDKTKLjB4N8ZVWfzVjR9Wp0Zwfop8h6NXeQcDIaSDgeiiAeroGzrFzO9xqYB
KAdrALOSznDoWknVSxJpOox+I+GOmr+A2lmNMIlgOo86tRCShDnNgk2RYdgGGr0Lviw92IDjEwZ4
hWXDNSAtA4CmlUxNNEPpEGxLnY5g6nQSV4p7z2Jt0UDivOU6GjqY4bRaGLjZlAfLZxgHyDJZqMxe
9RRiT4TzVF5PsM5oorF1TQ8dAIW9q4DX1fulyaA8mAaiX0B5qV6OS9+9hqWEro1833YAd5IGXy9d
X8JyNHHDvLfKebrs09aI7SwDDJ8PywRTZFBrqgg0J/JNyB36QMDZ3gLSM80bTgDRiX0mhvNiQGiK
St6yIYH6yH2CgfN0Q0MDHwTTQLhjGNSVp3AVb/KveZqh1zD4JB854IJ5VE5Vu0SL9cObRhvuNgCi
Tgy2glMhEmILlEW2Wzy4eKmKu5Gmy0U5AdQdGV3k1ykjbryguK4vqqAzzc5A1ldRy3M3JCgPZtgb
nPsSxuQZLIH3MCXMLpVh7lUwBPKjnyp+zY0c8zNR5nCBUacVT+pUkSrKoUt5zoLSu0g3Ut7ONswo
2N88ofMgEMRHsBtY1ola4LJSXMM80wMunrM2sogamywNZXf9WHl9PQU0K+IsL4P5TKAFq0hDT0cj
SVxbnOdD1XzoSdd8wGlG35kgX7II9cNURdLw8KMqs7mNFpJ2AF10mXZxXc8pYHdF1YwxII0Z5LiR
Q0020Hw3l3R+I1xFzgzPA7jGGVIfdf7CVrr45BZYJotwpcv3OUfFEuVdNUAA5nz4VE9Z9yaDVXkc
j0qM7/GoBT4TXC5yHxisiCtb5W9RJsRbUtrKbJkqnUmWuajdB0DNqEsmx3i1WYqcvHRFOrkdOEUK
py4osrfF0GsS1wtsVEd1WRj5rMiWYDxPGRZ0qwdApiJsHAy7Q5OObUSWVAZxF8CC0mbJdFVs4YJU
q2M0OnQhoErVkQD4PADcuUIfO1Z5e7awtsbRpIOxAIgLupyoFBNaEmnYohNnuxZHoiBwi6JBvBKR
6kb5cXIme8d4Botf3uRpGneThStmi0OBSapSaHTe5izL4o7AStVZVct5p0pRqhiug1T2DGtB35Fg
sumua8VQnxs5/T/2zm25Tpxr17fy34C6AIndyapa7ObO05vYie2cUE7ssEcgQAKufr24O+1p4k7y
pbu/Wgf/SaqycZgThDQ0NJ5nDI2nodzJ9VA4FONXlSR2NGhxlR0MaySbNO20L4ZYgEI2asVwVpqV
Ep6TI6L2h46p+H3Rk66+pAbOQTZ9OfcS4yWx8LdgTHOvkTi4C0qnUHcDBCK1N5lZ4fo6bTt9WzfA
495TQLDVY1/kSgWNM2a1V1ldc9AHV20SK7Pea6073zFEoDTEDMpmL6NxdmtRAaI3V0Ajzose6FJY
sLrOP8UEq46nG8CpUZHg4mBUG0rkaqk+aV4xN4Pr23ZKHiTp3Ap5GKQmgrLIxRjMRpp9RL3feD5X
uSreYWgrHqRJo29zPSOfBWPDsKNDzB80nJUUPkjjufZ6K04wd7i9O9N9NpRYBHhNeh0Tr6tYpFDg
Y4YowkQ1AViDvgjNyZpus6rXPxAax42fZAXmCYI45MHJ3OSMZYUwvLqosLRrrGc3iRWTu7ZjElt2
OmI/QDpJpd8jS9r7uSjSW1rbeuLzoqvfVygjMoKWS/0LaWX/pOg83YOXVnjxWpYf7FjYCBnqyZae
OzMbbxfRmsMskEmO6phPyaa0s3Jnmp01eWNds0skUsqPhp0a58KsjTGYJs7791Tk2bGvZyoCl8/t
eYd/FXs4nG2sUDPS4lNK9TT1s7yuTH+aJMI5y8nlk6ErLNaJFltneaM1HwcuBuKNml70oZx6AMgO
H81DX7tdv8uyue03rCmI4+tlbaDOZEC9ss9kivnTnWdTRABv2BVL6/E6rp1JbOwmc5pzOTPlBJZC
GhRh3ODaOFXAuPaAgPAWKynK2j3sguo0mICMxb5F5PRQ9HXdILSpSOdL3JcjsTlKom0OZhyoecml
3+bjPjaE8hWtnqhMx8xvWkaOJU3zIphxbGMqC3RzhiGE1QY5JLlJe14cSqdpnUhzVX7P8T72vhxI
mQW1aIbZL3tG7pxOx0to9mn3IKZpNH2JHbwZWqRx9jWnvPcE0UBX6iife6hHZ6PRsgfDjs/rVZVh
bHIutO5TNdqJFmZVaWQ+c6oY5xajuxCp2CCYftV2cYbF3573NFdcC/KZqIMgQ3qO2rG6CLTeZu/K
rPCQZpy5b5kM37oqcoTHrDWwlCijKUEESo7lm8cz71EDS9QErLmp25DyZDw4uaPFm5ygcCC0VaIP
Hmb+sQh007HDtuJt71tp1j6yahy+OFqLiKhOrOroArUxvURIlOGXU25pwKIcUvnYNgnqC2MWMQIi
ANheHCNR5+mtmQw+UM2i8RH5YjpzcXgPvt006y6cctyaZZNl/Chr/Xws8HojARAGBzD4dUkirqtT
K4FqznJKSQAmJQUihH1M48WCN4cJWSQvtia6pzLOcVJCiwvH7tWlOTttMJZZfJ1ZnOxIZ89bd0js
d9XsmkhMZ/GhFtL0TCnphkPHuslzZviq1jIEEQOK12fleHnRzdxr2vff3xq9kb8BXwqoGXyNBjnF
Gp9vZzmruNfiYKnb3+jWwHZMn3W/aZh5tNwh90s9zs8RYKfMH4FunXeDlf6gFurbBA7geWzosT9b
bu46UWyPrhJyLN2AGWXvKy0f3mGuQTheT+1/vjF/danVPpSQvm15jkxHV5N0mxZ6d02SUkd6oxKb
cgIoMTftDUN4fPv9O/1G3gGAD1gq06Eu4KJli3qSpbcqJhTOvV3sK4QRlkXRhgSqjR9ss9+8kyhn
xg4b1Y/OOrM6a3XhlHnuBiDEqtsK4qfOc0CwbZB1+yGl8/bFsJ1GmbYN98EqyeFiRWciQ/6G5SMP
BMchKSLPd+6EfdP3b963+3cMECQzvl5pdfN4JVJUn+Op4UBs3KZ2zLfONM4oPrRRuZs0yodYJb35
/kWXj79615HWRPUAGFK87M/HGydPzBxUnDbl4AYT4L9gMuwiyLTztDnT4/hHCNYy7L65FhAkHOPo
FiDi1RcUdcL7zq7cIG4N9qTczlQBNXt2zcdeC0qZ1TdpTcs7Y5j1zchN48P3v+sboxOpU3M5MNAh
nVqPG2XFCLsN5I2poewPbQms0aaZ/P047g+F0OXvX+h3I85njgU2S9I/5NF//vb/HL8aqZ/1xi9/
vuinX353IZ9EP4in/zk+NN3/YCl/fJZSr39mufKfP4QL//FJFmfQq998Yy/6avFZ/uXP/uUredEr
b9apvAiMqYGF6OT2L9d4ZTD6qnV8enYqLWqgP3/oq8XI/Q1FCTg3QH0dUvk4WPzTYgSf3nJireka
sExkFpe/+sNiBBkfPChLXQCyXDhZRkoez/mryAjObKTrMaDxs5BZoKroT+f3qycHa9Mfvz91GX3z
ciwg0gn0RF9PZ38JPcV96e4dI7Z/MAO8wca8Jp+Wyejkbfwr8skwuj5kpDEO/xX8aXnwpx/r7zBJ
30y3iyhhSSb/TlqtOVFkZ3+ZtHqLGznln9YQ4Yp/wpFB5RddpvszlUb0TELRWDcDu2j18BmH6sye
h3Su+Y/OM7+Z+ldM1DJznTz3/4iJMjg+okFlu30Go9hA2b6Z7DqykhmFj31Ztz+NSH37Qizmh6+I
FN7B15/zLUQq5RZSqrk1+z/BSX2TUAdxccpJrc4xVpxU3DLhp1SWIStN3Y+x24drKiObwWB9cDJZ
vfHqf7NWPF/5BZtavYnzr2FT3x5iLJc54aZWl3nhppJs4mcDVr5LVcLoZJOBnD9TVICo5qgdc9c/
QalQSBYMo6Z2P4NTvTEYnVOcajXrveBUSK3iqklPw7eYqqEl2YZr8AkwR94/w1VCxE1EZWd5M2b7
vdJbEjTjlFwNiHQ3339AbxReYBk4Ya1W78wLa2XJRg/43ElfpWrwc9egUW+YJsqEfh29emuknqJX
q5G6Qq9YPpTHmOYdlGLOFGZDX10nxtB5PwFgvX0jcC79lcBazc5/SWAJZrY+6YEHj0SO2xcWK4mR
5zDFdGs2Zv6Ds+M3B88Lj7WuVP5LHovO5ZfYFtiC6RPf/mAovDUtnYBZ66JT7cdglhwV6GAd2zvb
iJ2DaNJh2/Kp9buW8C2PcYiAo6zJ/1lY642VHaP1hdYylvt2MsO/cE1tj8LtTG8635zJ4D8TTo4G
cVpLyACWayTemnMaqmHcjw6y978KOp18sGVgn3ywfw8jW8t8kD36ZYzsjShiUXr8SW8tA+bkS/0d
euutsXdKb63u3wu95dhxHYpO7P9JgmtdivKvE1yrxeAXCa5vMzSYB08ZqtU6uEK4uHTcIHNpBiTu
3+O4VoPmv8NxrYbPv8NxPZeIn7wPf4PjekbCXm3ylyd5wnGtF8I/Oa4OfhDYbBzzQ+5UrVdJmW4a
xS/SLPvkpMXoz6bZekmmnb3QXdTBQVqqWfzjM99VQMyGzDYDdgmZ2W6gZoO0NnM//QTy9VbAR1G4
+BX5Wk3Qv4hgvTlbnFxl9bj/FbDsFMZajelfhLHe+lanV1nduxewLG9Vt3PrZvKe6TIUnup+Nzv6
j/bJy21aD7JT+ms1XazoL5S1y3sYvuKdIjNSu3UcdALFLycoGIqzsbg2mvtuIhpKTiRoH1SMWjiF
qMlFXfblAyuU+zOY2Bs3xz3FxFZ7pr/ExLhsyjMJ1dEPbs4b9+aUFVuToS+sGDWaZJ81iRH8O8DY
amz/S8DY6iq/Boy9tR6BO3khxlaz2AsxVrGi3sEMFW8Ez5xohY6pgVQbQ8ta/x/gx1aD/Nf4sbfm
a/AvSwb4d35s9e6u+DHmplYQW5U4PkNkUs2bpmTGLtPcegM5Cg8zM4/PnXqaIBkmfi9QywxIpgu7
WdtKVHClZmpv6ob2oTnD6p3FVNv8BGf29hM6Ib5WgckLaIZTTTgC9Ly7gHzCfJM4ayGXPkBKXW1+
sPFYSqhX8xBu3gt2ttqDvmBnbt0nn7DPTzcv2BmfimqrUKzid9LUjv8sf7Z6jP9F/uxbAxncM+YJ
f7a6SSv+zE6s+pApvdg9M2hE8DSiraj8ilTVpmxpuluRaCh6anbNCAYog2o9Gq1EO04oKvQHjEec
pBr6xb8Apa3G2y9CaW8O61MqbfXSr6i0Qa9x0jDIIliTaYzyZo+SnjGUKLP7wSZ+ucjrYf0aUVt9
138TUVsFKP84orZ8lfVXPUHU1vupF0SNypz2cHyUDz/E1DiL36t6uPj/GVVb5of1fThF1VYL3guq
xqoJ+GqFYkunsgHNWsY2LVMTnn6W7b4/fb41zE7BtdWc9TfAtTdS/WDkTsi11TBbkWtSKg2lIHl+
9oyvFUqwMCPyUGYavZkKbmyklebHn+HY3rzPJxzbCsp54dhGVPBG8dCzq2eWDcWZneeCR/R7RfqN
1XQq+kuqrba7LohRQn1gbCz9fwJrW0WtfwdrQ+0Kt33Iupro++Pl28j2Nda2Gi8vWFtMoKjVK60K
X7C2plfzTrCKHP8BtG115b+Bti339dV7CLTxpEpkfR6/Kt2wpC13pVWhAGip30DvCz1ILIWy6tpp
/ZKS8j+d+VeXX838f6dI5ZsN93Kpk1qR1Sv5i7Ui34yZ5SontSKr921VKwIVqfOZyIL9Xi9SzfEQ
FVmmBZOVjLffH63fzG7PV34p51jPqL9eOPJt0LC61OqpvVSONPmoH4juxn6NAgxvVT4ie9n6c94/
UNSV/uDdXJ7Waty+qiNZHUL8rTqSb0/NFpLrpJBkNTm9FJIAyeUXuexE+Hs1yWiPqW80ab97LikB
MkG2JJe9PxZmGqEcf9r8bHHJGwPtFV22egZ/TZfBeugRtFZ5/7OE2VuP/9WlVwH2CjFjOOY4T3s9
D184s85E7SUKGaeNauoqGnsyhd8f7dB3vjECULuPUg7QYLjI6lPE3JjHMmYOOIwE9p+4qNKLqTUZ
mA4Longwz5ShxxHQHhc13mibE8DrOV05UhvvJpQJ34EhgpEIQ9PezrWDCIRbKPL1UFo443B55jKD
qLTNMz8lskxCu0vafekaqY5qtoRD6li2EZhgEBFWB0wmalzVT35mTnm2mVsh0Ngi1rnPsH+Y/Z7U
eevX/UCa0ODirqngFsHJi6mKcGDJ5Ce26SbocpO36DfUKoZCagmUxteB72RB5/SgPylXZzoYJq8q
KDwRVdLQOoALsTzn/dzV0NGO1Y3maBkQ8N5ubopJjnaYJ8Jso0Yzm89G2cjLsmjixDetDgTWWBL7
Xgz5dAXpfpmGiSZzT2j8iDpycTRgAb7Ue4HC2IFZaI1ULBpdH0f+zYVVNxXz8lrwS1rRmALfmeUd
AIL+fkrsygAqINTlDBjmXeGgZsAztO4RpYFF6at5qnZUaCjHmocyD2RXl44H0D+HQX42M2zuZcpR
u09g4qgV2lQFDlPl9awSAoGFjtJt3QKPB5Rhto+EaPWnURvdd3NNgWu0GeonfAuWAoniY3CANk5p
5yidlGb5nOXpBXELiRZh4Aiu1WSDlXBR56aHY2canVeS/GhB2/J5ysr0gRdFde2iYvpdI1FfjjSj
akq/L0DCeoUqi7vEmI96RWTlJzB4vDNGlt6iy5h1I3jpfKhLo3P9gU418YDp5GOQEGKXm3buaea5
IOjCoS2Huy7FF/A4c0oTcJFV3HSoHk09B/rMPeUF5V6S5O5eDvNnlU76gy1qWaFviQ0FpiEsfluY
vQIeYtIEmsSEzXZoOUiI72VrGU/tYLY20DpFBB74oQQSGJYu6DwYuGGvA4EBWwR0AQMHOoKBhCpf
MUIDjIr729wa3cbLFGAGoGYNPpSoK/FJS2PtsdR6/ZrIufqC6Q7FxJMzlfsG6jvqodp/ugAYN0wR
lxhtpRuToz7lc4pxkgGboVohto60uRNWVQ6uA/2ToE2gtGt7uPFt+i6jUzmiorTnC3JNp5ul53ft
kaK7olMzLqn8DhwTCDCn8htAmBP8zTW90enUEw96rHgKZpEmlzS17QYnO5m+S6w2m4OOtxJqDwwQ
nMLWlG6nQS+fEovTB0HAPnRzvyBQ8H3ddbJty61m8O7sv88kaO7sXI5EI7f/LpcAqIrgsbIJNfCv
4YQcT5AdBbXmz28TCjyZbdcv9FRuIUN0fKBKzfHvsQoxUy561jHpomVeQsdNBolTG55iCzFLkHkr
R6pLuM5VE7SWRKn78wrzv3WVf5RNLiWSgIY1qFyxvfjr1pBnPH84rcV8+ZmXukrIkC00F1hcf9BP
IFb7ozsk6ipxFAEBKBwdS1XlUvr/ta6SohcokIXFvLPw8a/KKtlvNio00TECfk0dxknN/U/KKpfO
A98EC6jSRGukpfkU1GjPCMLJgWRhZTnVBycJW8o/mWjtt0kKNBusTHltTMmtDW1KaNcVJkCokvwG
pr9dlpixX9Q13wqmf4rBzx9owm/RyiCJ+FBpG6nKCf2dwAo5bZZf2IX7hA6MQWdMWO5zNBmEH6zx
Jotu0Y5ngAKrrrbDVKfnWOKyTWMm6EMJQC+VIl74lyxA9juAyr/ztZaIKO0GLeoyxCXocKH2FeYC
Iy2/2GVfeagSHx9c0FWBmAiPjKHILpmAx04MXbFD/qTBJl0kaLFB0SEPHQR2bTo0AcjicQPIK7/h
gz1HHcgSMLraRujsjI5OjPZDaD2GVJ8WiEpcEl7eG6z7xMUoNlKA7ZqdnPudTe/HsXeiLmc7PtnT
PbHKNGoHrQuSUelAN5ocO+X4oz2RK4lVAbID2XltPz0qhvMnogrhu1UMd0fpkVJcEFZdwhlQeGOM
wjrkAvR9iSaUfl07VqiWDnESLSc3VV7yD401fmSlrY4tbbWgA4u/oVWKKghHPSHozg8p2iGetd3w
2KWdGYgOTCWYLyTFc9sKAFARSPzZ50KvrxuBhmSiYPi7ar7Jmz73SdcmHsrAjCCWc+GTOI6veYnH
ONd25mW6JkNhDONWx7GEh16PdyrJGSQ7WPgcRYstDlwHHwaBA+zkRYSS8tu2JKkXT21YyLS7GhJl
RX0y3mWFdYewyfSxcE4o0xIP0KSBSGExSFbijmgSoqc+KSszclhZ7eoaqpN8eJx5KrxZaW44CasM
m9gtQ2ukX7oRwjVD458RrsV+AhzP0+KEBe1Q0zB37Md4HAYP1eXoyFnX760W8XDRxtif9dBXlm3m
z/Z0y+I0EiqTWyNR12mrYdZHa8sKvQd8aagGwShXXu7q58VsmODNNZDxNYJDjZWRLCRMeLy4Ke0y
Q2dOtsUxfO5XMz1jvTN7Qic3vdHuc7MZvaSdPsPg8tgbQ7VxkQHz7LZCQ81acuDR5AnIzj2RNii3
Xl7Vs3FEsBr1Ut6CxHT8aZjuSowbNuhxVNvzLeL5Dwg67wuXhGmtXRetdUNVQdDMJjE8wZprp4FO
Um+3xNFzP80tH1BrBFT8aczKCz0dLmtkOdI22ZZtmW97nA8ksv1IVQkuemg+NyZwfocXX6ap/wCE
YUD/B/jaCuImQe+oazoMV2ZLGy93xjNekZ3TNUM0sMqJ8H8b4g7muXsAQxsLrKDXFwpdp4zW2cYF
7T0nJXEIGNkOmW5fw+fLPCvJDtym49JFBbBdxqpQS8FCydGpPPRqvSSpA+/Cu7Te9wW6YWVtp/zR
sc4QygU1aaAie2LOZ5BBl1QhgJqmggEzt9MAcgtsMGLtAooLj3fpe5MSDepAzfGglbpD+4DWy5oW
s0YcSkkOCPnRvirJNnacAuu1Oz0kdv+Yx2DIWjY+9MpVEVejDM0itkNiLf7hJAYn2IyXsbsZ9Oyj
aQAETGN67SQj9Y1+2IMmxTuS0d3UQtnQjZfC0e7cRoKry+7TPL3qGSwGJMMbaQF0jUkfzqJaUH+b
gCjq4Nmv7dSTeXM2SrMMFLZ9WsLObRNKxC6HOsGSlblxKHg3uBrOqLjn7RcnYRvKsh5vM49IJaNF
mwEa8TOrmnMtozeQBObAREnhN1Wfho4BMhcR431uWrWHhrOo6ct1lDtXM3T+yVmZguLOhqsEiOZ2
wpyMF3m+rmnFfJnIh9RO7tJmSvx5MCwPzvDpWIvFMkdR9+0cpxay4dq9SqXxvqDN/EF37pBBQN85
lo5XJTplnLkOavQafAwQghoLxUxviho4cDM3IbPlRY4Xvsx9R4/Gbt50UH/Jtvg0MRkOVbdPBw2U
fZPEHqShOx28pjv3AdWw10x3ZGltYWRy0VafQwwRFLN1buW5l2ESRsfbas+yzu9Y79uj8WG0BgCT
U8DiI56cn6Fr5q6fyB4iPA9P16vqyGjzo2vvR/7ZsR4J2jo6Y/ORu1ZYtx9yE91QkzrUUPI48A6L
bw3Cfsdc8O4cwjwMCgwDKLEqdmu3H4wSY3TCz3B17cx3szI+xvkZN4QXA4PGw9ob+tbmc8TxjfVi
D6sHbALHvLmzm3o/tB5p0HNX2btxvEyyxzrbWCXZCCEwiA6DQ9OwM4D+2xRADnCRTZ300ThcF7OW
hA1ai3ks7yOpO5cpzDIeuhJV4SjjR5EC6YsFfrIvR4bdPfuST9PnpCfcrzh2hA4T25wPO/jk31sa
bgfFaqiRJIKjA/OAuKuNDhyHq/lt4tyZQ4nev+oyp1cTwY0wqjokRof8K48DBxybb7EJLXcTA2vu
MHo1Wpf42gz0d64rCiem9JrpczekoEJttNrI2yNohrPSYufGZKBHMdoKIlKATuURopY9zD1npqEg
AkpubJFhBiuHYl+C3MPyBBJBapEB0YABpZQYizBrinfDKH2ju4OL4MxNusSjZXdHCipg4o8f6FBs
ejQdCpuRPOaFC09GvLPwUqrO8ArkxWJ9vrDneo9+3JWXQPFJ+sumRls6JDGQLqn0pxoDuzPUzjBL
RAZqDHTsO9GO7xEiw2EL49pmgIc7Hcyw5WyfOf11MsNTPxZerGW7vHaNENI9vCFuMwSDTAp/6ttz
636Q0qtzJ5qcXKAnXfKZmvzSFfFFSks0FKityrMqfta66V467RZd7nbwjSPRs0hLcmp2mAO0ETIO
DcuS8gkbzxzZHgEXhdNUBW2c3jdw19c8HX2VLYw6s0K9t2tPFLt5CfomzOGc8S30ghr6QXVo9wUe
2aONdWE1Cu8BiXp7EVr0MOna+XBjOdXWQHtHPYWWqkI86imzPTojytmKWttXfffgzOJMK2aPEXVW
Q9XvxAWU0+gwbvVhARNJDSUkemB1m7KjmGjSd7AmnpMUI6WrDo0LCNTB/4mdlRhRldzt1QA1bcZa
PxuzKkLf6W4zVByrTWofBpVCGaLulY3pxlb5RmL2QO0GDZiOtBeWC7DDRnaj2Vjq+3NT77Ctlgeb
NbftYCOv06e9hxMTIxTNnCPXks5ebpQPIgUMGrvKDCFTss/QAQAvq5nh/be6zyyu0ZFdi49pPUVY
6CDXSNGjlSCJ5GVTPviNY+9rJ77JbUxbJuKHsDFjC/LOgoZpW+tbtB5zfcxsgJknLG95nm+0CpeA
LjnIrDOjSpD9sqLZ0qVvjUg6GbRyPMWE2DkzvP022pT7dgFdgdvAszGr9wRWFvxnmMTjrCUwsvUJ
/CU8/iAb7cDsBpdDiR9CDDQNHUTSeQOUoYE+Sv2hUDq+a5HooZagi1mJucdK+4/QNBmHjDgRR7N1
ZvODaiHE1VC2oc218tg8QEQSt82l0ZmHahpDXUu3bmruzFSD2wIB/gXUnPwyhluxNfG8VN9se45G
opWySh9BL74GvUdnxggjBt2jnN7y8ymZjqICJO3wx8xWhwbbBh6ndcAdfOPRYFBXxuW+MoezJqFs
V+us8LShPWqTBn/klBc+zYdPVgLhhizltjCyB/gLGryy5WWHriuYEvGWU+RlJmpKeLnqFu1fUtz/
yUTaLItalX1El7fzNHGPIoFFwlRT2KvmkmAvI2HeCJ1Jd6OuS3GbuAWG3XmycvrOtKajVqnINPMh
bMBJA6esrw10d49MBNBBldNkKy1bYgovMV1CJxFBqLMYGgB3A5BGGmjM0bHEkNAzVM3HRBW3lo4c
rx5bYdE7sNP2+pkps+mAgXmcp672y0b/4Iik8o16eD/1FYdOJL81jOHJdDj1NL0niHKsMmigcfOI
6HcSqL6vWucgk/q9q9dnY9/uHUJ3adPfmZUW+67QjzCyXE6TcSWGrPQ6IvbuXEaYUSevcOAHQBKu
xNqb9XAfYJuHfq9wL2WZ5cVtf67ZRdQ7xWPMtTEEWb2PR8s5ML2dfcmHO10gSseslwRJ9YXX6F8y
y3yZ7fOtarN3QvGPMK2e6S7WJJhjPkpqyxBtCc9ZrV9bKQxEKjc+THZ6hEMbQDU6nokZpxnFkabI
+hWcIIzAuqbiEhYXiUoYBzI9KpDO/WxZw71s0Zhd9Q92h3hioF8IqmUC2Hh2o4IsxJZuiPkgUDS+
0puPKgevUpa5h4z4FCFLcVROtYOzC9NB71w0abKHQuud1hf3kG/Ay4Bu8Gg0KrQw75HpcQx56yRp
0MdjaMv6HTICcE7ZWXxD0h5WJbZYA2ycQCDQLzXJD21s7pG4JTDHWNyFQBbMuGC8CzMlHtxeQyNb
vBXwtfcQYI0kNCZSbvQY7dxLPd9qaZSm6B+JuDBp072eyz2jWQL3D9qVokEUJuyrmt/AY6vQpsdp
wE2os3ZsYSPgRz2dzuHKQuieozFStS3yHFlMwRGFlxVWuxwNDs0a03J+h20wxB0XVJJgpvrRZGfV
vDcFDdCri51nDYzFFjkfx/zc5dmn3ohvOzWeqd7wY0tcJ21VHbPKunOgB/GhZTnMmfiECaP2O62B
hK7xM/lgzNi4m1oJj8xDOhpn9VQyFLG5X8wGKejB0od9h520ZlwhA7e1jCzgRPhcGNhoYb+C5aDO
0MfBbB9bo7uo1HyDWAjqKWLAcTBedqN+tId0M5kkjpwJz1NyfSOTKwv/iCv9GrqkjWki3ieBRrBh
ypCrNqtsjxrvJxyJQExihDldnLpzYAI1pG6yxYag8N2aWkGiO8e4EDwSZXJT5907FOJdFY22q5aY
v5XDBTpDie5ji3wLjlM0aN2S6XGIzY+KQErqIHkwiPoiVjmszqa4ECbFvKZfKGRdGtGobeNi7BRL
4w+4WxK32cDTfGagaXhkjdepUQZukT+RAenIEn7XfnhXJrazafP6ydU3k4NQT4MdLhV+zrh7lbfY
rimO89Geak9DN4ZEg14F6wiWrPflrC5j9YUswi0DXVs9CzZwHBM82VofmSLxyvQ6abpodm2Alk4/
+txp2DbNyo81VjwIEqGxK742i/vfxOdJ4hNsuAkG9nt5z/87Dw/TaeLzz5/5mvd0fmMGNZfWx5DC
onMkzvr/yHva7m+wYEJ+j19hNjddHE5+zXsav6GBCHKiyH3iGN2BB+YUJ0cCFVZw8JA2ZL4MLRK/
QvWXv59+/y4CeBsnt58dH69OyXEhZsLOCA8p8qjacop+kvbscrS1Qe4LfSSNL5WC/DxGwI66dOYc
YnQq8Dq3tDyFvWqAlRshOZxiyLm3OAVrhvfwHN322CV7sVlVEYra8oOOgCdq6fKKlFPE0O1h0+Bg
AOIunFR5Oinqa87b21mUIjBmKNIJEkjXGWF4a1ESa/SztenaogprI3uPw6HeMwbX3dluUQVyLvH2
IAK7RXbVRjClV5FKO+zISLe8rIhrRznui8waN8JA8lQ4NPZThQDaNCAnhCLs0A7jvdUKigrgBi44
CgGXPkjX4wbiKNfM0K+0iN0DjsasTcH7PhBaKqJk4gV2LdnoN+Z87wwp99uqaLcIi4ZbzjFn1AOY
ggx5242mmgfEUE3E9UwEVM6ZV3RyN7kc+c0aIkApLnWLVB5SvvayCNmRBbdNUAntXCPVtRP3TYg2
M+JMkXg4ZOgzHbqqQwRXxjJ0WWIi8kUbwdxEuRYyw7ep2RaeBamcVw7iSuMcdc7qCfbhTxo8r76D
PiJ+qcRnhva6SNhUj6NyEZOjCiBKLHZZTEUWml35voa8xB/0kXxKtPpadcBX3SVJ3WViviI5zQ6i
LJ/yPEm2Sd4OWzgdET3lNvO6jqWhOxafaWIm28mZr6q64VGbMP2MxdDeK5HcJmgsEAzZ/FRZZfLB
SJj0APGO/jDjwBd6mnJP8KJcKtNG7Jh0nW+JofrE9fJmFv11i6562O3WA0boAEMjejCZIRxdHAff
UxHRublvR7kdcECKk0MGs2aOdESM6XgQWr9jZU8PSx+uwDaFE1loIOxjTWdYSdsl+oOC7v+xdybJ
dVvpnt9KRs3hwEGPQU2A2/Hey74RyQmCIiX0fY/d1AJqUGvIjdXvUHaKpGzp+cUbOiMyIm2nfDvg
4Pv+ratfue4wn9tGehlFeXoFHHq03ekyXdxmjSgY2NlRPLuYqkO3cMnYlaZ4dQN2hr/kIUiXy87l
OwvrhoWRP+SrbkadQjL2F0NkTJs0ACosjFDsy1A5rdJg53JRPJdJF190Yz1c1yQtnmfsnKvI0b72
xGRtOoDIlbDHe/KpwlVKYNa9bqXG2nS6cw3mke020FhIyzutytkI0/R8pv4YacFJ1xXKlizBak05
wcaY+HZSKkm8xY3tLW3qyXqsymATBCMIZLY8x4XuEKOlbmLhVCsC049pOR6WQX0sK8LLanWaV3RT
u37c5QHpU+HnjGYVH8vq6VABFlSFsa614K7Jh+uGHmlyuubMM6h72M51MmyUYCZ+r0kf+4GNk3vu
2E5AREIpNv0oKhKqyh1VzUeKmgeSP2f2oTk8ZHSekm9Yez25Zl7XBwkbfLusxTIYp5ObBJ6DhsZr
miz3mtA66zpIiLwxLmUyDeiVPa2DwAm9PEhHvy1U504UbrROtLylB9o8ikpVLjvysvcVFOpehHHp
0Zt4Q84pzoHKulPb5HTJC19LQ4u695bIxlmByUaGwUo6KOywWnlpdmq9y7NAlZiJviealJ0JODul
AtkT6nJGaGdG9OjiEJ+1XI4mCaiRmRzKziovyOsjCZUM363dLMJTLDbW2VKUHYXC125df8qTnMQ6
u+WHKnXmHJLLzmxRbJO4E37iNM1pG97HCVfQgjylsAJYqg51SY+N149c9b5LysWr0zImnJDGOwJd
hZwvYi9zrXu9S/Zkq7gbK4WXihIge+DLozVDO7TNcjso9SPb6pdai7+qBCB4YWqXm7i1CBCMW/ZJ
N568uic9aliCz0DcX4M0WC5YSDmURe3uCLaiHbc8sQfiPMtFLBcsttm2nwP9GCZiRwghBG29VOho
nN53sYDbhf7VTP2uO5ASvSLV63pqhhN6PQg8WjpWOqMjwncSBmn5EUi8i4pmCY+Dw745VoSDdSgs
ti6ZgH7eO/19EEx7S4zszbG5izRQ48C2HqoU7NIdz4DSToyheAiG4Sgy+T7InCVC1U1PrSFZ5V0X
ERg9bQalexhLZauMhvCSOnwayRmIs2QbUebi5Q56iWEeTntOTPQMBHYGptiOhuzSrYW2Dbg066Ty
A2V8YWhE46H1dJQfJntvhJWfJNnXZFRq8M/wgmedhQHceRacYypuhGNdu85p1I0MfQnL9KCnXmVf
JDw96MwZlMqfhvMitRyvU9waIOdsDlYDMFccFJvIICh1P/Qs/szP+eA3ejGsWWEPs0lNuk78qQjv
3HRdwZmdEGXH813GpYF+ipHY1Vx7WUgoNx3eVAqQeRImWbrT0sc0DHxBauZa4wcbkhElSJKw9zgt
kQu4VGz4MishUX3QELYkF8ZUPhYlaXeVYh2bRDk2mvpSJFa1bex+rRH82bqCqmXuzKnUnyOjpaI1
vs5a/ruIS8JSfVoVLgrKVjrIz1LZN5wNbXuFhTOrJ98UGWzUEtXrReFg6oL4YbLFvB7zdvEKsRyN
rLK30/hZNWVY8fmoH2Skc+O2dwPqI2IBd7W+rFN33DWiAsa2bU8JtM2oEhTZse2rcdKtwBNyMDul
Pp2t2vCCZbyuI3GN7M3x5tyq9sRDao9F2D6Eekr/W4X0wbgMSlSeEZ4+Im/HaqsUxl5h7Qmmr2Np
ra2R+NFy3isUxmVMW818EaQQo27dLNyw05PQUN/AP6FcAg92wgPULVqmQE+3PeKydbgYa7qBDnEF
BkRS5hp6d1hBRqCZce3lvLCtmXMfPiOwu2q/dO55G1UF1KeSeWmcJ1snz3M/6ZWdnos9NMmerprI
66LlIp/7q9yNQf8vq4bG0zZHdnPnlBzw1djuhiV6UuNKchR3iTvOq8JmP9JssiXV7EC90J2etqWX
q/UVebfFpWrkoWcln0g89OYl33fyS6w+h8AYanxDG+Nd2U20tlirFHSPqraeT0cWclVYLpUGI9J4
9Rq2EBGbpLyUCPJrkTTY6LjT2gzjQ2pRwKHDlZmSNGPTDdb5ZBExK2Znhyis8Ap3erEH7Rjlul/m
8NUc/BCdzoYimX5TahgVIeoMydhpUHctFF4iuTyearQwzUHnzWVz17cowKpdKck/FRZwCTkLKd9l
hwQwl0RhCGNoU9iqwvJ1eXLewCimlrEJAR5oCE78tq52NtyjshTXVBNpniZpyQR+MqO4JYGvVKz8
gaKiuxwe02icYJPCbNJLcN+GoYuVa/ikBummaY1Tq58ucQaSM+4WD9C0X/VKK7e6W8O1SAq1lWRq
DKuqwAvEkmZt4VsVh1hYScAywx5J8eZwhJutnCDaCtjaXtK2nSRwHUnl1up8TCS5q0QMrBV0b9O1
ME4cr1JpZjIAqc9cYtfAecNOhy/WC/GpiuSDGyI5kZSyKcnlRUlvJ0k3/6PKaeLn7sOiyWLJNvnX
ohw/ipmOm6el/NM/+H1D1WX6HUiAZSGVtdCEf99QSTChRUVGQ9LVLv/RHxuq+I1QLILBXDL6wB2Q
9XzfUNleLfl3ZQ+DXKFd8+9sqMZrXeDbDdWkmYw9mawSiXAI+TbebqhLqhtTHwudRyf7C9ZtImx4
Sl3mbTN/tYcIGcNS1vu4NS6yyu0+zRmX9dhz7E0K7NQSF842EXay1USogLEt5Bda1aUSaSoERVat
oym4Y6Y4QXx5N0dVvW8UKUJURANtpjs7UkJSLxVOeWcFs7OJS1NZEwkbeDQ6GF6tu51fxeKzAEAk
+55IFCPvdr2dfS2M7NxWJ47mKNwtpXtbkozrV8iA9lkWMrbP48iBp00bpTSIpzepsWud67hzzmqi
cnivAfNBoCXrxOhPI9Ebh0CI4iSksZ7FEepCs6rzcA5vCx68F31NDx4sebHuM5BiTYPiLOlw8cpo
mb1BcyNygQWK3ohdm819cAwwx7g/LfLpxZFipyDrkchawa7hQKPNLKm9JNY+N+n43Ca56lX5+GVo
mctEPt2Xk7Exoir2+yRRvWhRYl+YQNKdwlawNGG5060ecKy/oCC7Z9gmyXoaSaiDMKlXtQBVr1Xo
UDo50OlmZb0mdeGWXtbHbIzjsy5hx+0Cp8Tr7KSM/wMkDbOHz1wqPFEu0UFjcFlrC9ppXUwvFTVK
HoHh6sqyYx4KIihxpoD5zVXwGKdlsu2XeFeW8wYxOPthbYw8g2z3fJy6jsD5iWgiF5qYh/uI1Nis
Nm1h3Y7BFODtLOZVWCuar8pQ8cniEqSIxovLbvDnpUi2Y93l/pQYj3FZJZ4zuc4qd6Jq3Vg8atCX
VzxjhMsCq8OdUrrgw3O3Psnl42bp4vlcwF14du9EJ5kyEckb8G8J6aE7Qd2lwYtBwSphQ1ZyTtFq
jUoLNeYCgdGrfOH1SIqj/hQ28AvBNHwN0+wSLDD08BKuByM/Q3pf8kUVILXOdFsu5UWszk9kHEva
pzvJouEWwMmCxbJPCK22yIga7gZLe4TOQLtkAlYGDpUTYQaHNcSd+YnLZbmfI7X9Etlohsc6+BwG
6pVgKPbHPjzQZ5H6askAyQN4OwYGOcbpXOxsmqXWAT63fRamuj9NVb1hfVBPqdcwdzk52r6jkJaP
SGRbmOqw4fPOBBGN7qrWHQNsQeEHJYjU71oZmxm65tFooBjmdnHPEPTCjoRGum3brl7TZYXJ2YjZ
dZyyRvbtZBelG42yR2KixXE5LgiQ/WQyL5awZqdr0hAGQ6ePJ+pZwebhTjHq5LouVOHxIE1exroE
e27i7tQUxXMYBoo3uvUB/nXedtrIOdGUKryBcsI6moIxOF9J0feqmfBQb568GGE63GqZLsWp2Zhn
Gq70yyTv41MzUc0TWwTami60K5BBtGS63a6yhVIep1PEvrPS2k/n8n50mz0aJ31dirrcWjLbXiiK
6dlGt88J4EaO1BnMGxm7jPIF4iWHDQkfso76tanjrguWLdBxiinnIEjZ3rCX7KA6U79WjNugUQAV
HJCmbr5SnKneVYyrO3tE5zBr8WOp2/UuTIXh1wWjNz/0Lq7arZU2cNWqe5N3fejHqdqiwOfgcvQH
fXGPSj1us25EHj8jhLdgXLehkQ0o0LpD2FKnYbX6vNFbeNmGTcCTXQIHO1d7BJgzfxk3V6WkaXul
7HaEY3TbuukKny9nVw2ttjKt6DQZM2sLZxt5E1GE4Dx0Y0TBNnOXS0wFbDFkTvFTGNdNV94trbMa
hybxqIXp2Kin4TSwtYsg4zPRGTejWA4PQx8jUtDCfl2PzkleWWCKOmK/I+HN+Przfteyr9uaO3AI
ho6vO1O+igPU2DV4YdTYZ3FYhQgYleMClUdJSnBiZ+swYy/C30pifv+56Ri63dZALDM2FNMWrO1D
tRs0ajOAUFdqHm8jWuM2uZ0ehApqNtBhZGk3cZk+5JE6AJslm4i6ixYmxWlqnxW081wAQc8kCXFX
COGPTMNmAiEUx1SuoUKNInUtY2xW+ujeB3Xa7UtEbL5dCPPzqJn5yWCUxbHEBlCWMrcuDF5oI4Xn
1qlPmzq/1rSTJCn3fSmu4z5E+hTUpN3ZPeUitt+hnVnZITHj1O09hhK0Ea1de4Y25jcL4n5fpWhi
x6XyYOY2VFbSnWdxcRa2dbNGo/QcLWWJntCJLmgHOjPLWL1JjY7U/xBNBkmTvt4y/qbReG+PNThM
V4pzAGNS/io2fnJ9Gs8YU3eH47M/yRXV8jgaeBzM6GaAFh8tA2menSJC1bsJz6ZtrLrZult4AHp5
Hz0FJeIEFveDM+bESsRKeCzVcZe08z60KiX2kCjBG9UxWemKaX4qqPm7zBcMFlOoPWgRUrumix5V
XQSZZ5qDshNlPiL31b+GdcZIHdJnZLf1NSc7dda1y7KjB91JnotLBzCxkqjinIrLNsTVUy6Z8c0c
9Q+D84bB+V2GjtD7J1Py07//31PzdkL+/qe+j8gMtC47MhHiqvqa/Pt9RKYg3MQea+gWpWPGOxJH
E5YqnZ6uJIBQq78dkQmkskz+GVIuA4Tf/jsjMl1eH7XrxMrZbLNE4zMlI2L/MCIzI/ezMZqrcUyL
bdcKBAeaoyBaHq4rIFm4/jXlWT3P6RaBAfNZniWfwamR6EhEF16X+cagPkYF7s2AfZFTHBOJAxdZ
aTyV+RBs6onbBcjZprACGNmUgHIHssxdXK0np1e2LahzXevrCRS6H6k+ZWS5M5pE94MGf4Ywh3NN
gteJhLFjTD8rFWSbR7CFkoi1lo6/r3TfxKtKAuGT0IZrxODxRaW21XM3KbsK3LyUAHrbM+OTmzht
KBNmwAQhpvNGd/0Q1GcXtcz9k7yf6Nbr1li8qDbmZhvkXRfJ+6/hRtTkHWm93puvt+ngJo/5NI5I
LDTQfJpVSnlXY7k3P4Ujh/Qg73kjNulzSDkIKg4EekqAzujm8ScOC0WeGgXHhyrPkZ4DZeBgIT4Y
NsuhbWs2LfgAjp8yiMHm5ImkpROYxxT1yOQdZzfKk0uVZxhrvunp8lwjhKRG+NPdL2qv3jfy9KuA
AzN5HlryZKw4InliRxexPDVbUT5H8hzFH3emcrC6k6A3kaMWB2u8k9YqH5FffqPJExkPVILA3H4s
OhCNXp7b6G39iYNclSc6oiqEBxzyw5zv0QGcuEZL1K95xW7FWFHaL5V8PpToSUf5xJjks8ORT5FK
Pk8U+WTh6xm3qOSuh2WJ+f9GgqeK0qnbrqoCBm+gVtPUuwM2kXHlVKPlNxGA+1JqNyqtuZGo9T3N
WhnfKHJn2wn3XVy2+zqvDw4FlIeq0dCEGJXgB1tAa5uw2BVWPTG/8wGsL1M+7gz8YxiPvhhhpBLd
1sZbrbTVTWga03qyLc13evMJ8eahidVdLU5yi3y4sORqsS7mOiwPSdBTAaMAlWmGg6I1crZGdN2n
F21C/aa9qWzt3EzLlTHPla93geZZZAGPcfugOM0uipQz2w1SX8sU08/wSdbFOa5DBBw035aU8GCU
Y7y2vV4PV4sxPLkT9XjlRaO416JvVqQaAddSCGSD0oa+FtLSIoKLxA2ICpuiNej0VWuL46y2qh+E
UQuDcjD7L46JhLlfHuIq89yZ5tcgeuEpe2xCs+GiiE/Uub3KO2u5SNX0qPcjngUjVtfj5JBmU0Ef
KmRRnKWKMfmqJmUIVhK0jqcUJsSh5csN1lrMXStCVF0tI3w3bFJFOYnixjy6Snzo5kQ5KBAbN6Eq
nqvGVPlX6DcBAGnXJZ/0Cd2qa0JvuNnzYt1WU3oqem2bmvgXZG1LPWk3s558VnJtnbbGShjFYYyX
tVrx4vq64yaa0nmN/uzUjU22Q22ld/qKwzfy1QrSla/gZG4I4E3BT3tV2XdOsbXNIVhXbu5uY3M4
1SeNW7EKv2iMsrdNudxgkHFuTMmHCMmMJAgpU6iSJLEQOdZCrBLJo1SSUYkobAKl1e87ybYImuYo
UIaBqbNi8CJIGYf6IcnRxJKtQbS1dSR/E0omJ5CcTibZHQeap4DumSTvE0gGyJJckC5ZoVTyQ4Vk
ikJJGSl8jroSl7Zkk6yuzlYUyp0lkmka3OjWltyTI1kozYwE8l70q6rkqIRkqybJWykTDJYluayx
zpHlOsPV0udXgeS8bMgvTbJgrrqke5NWNaT4inIZAcnHkjVTJX/WSCaNXrSRpkXJcEmerc9QgWVQ
b1Hj5isFPVItWTnHNWdvlEyd+srZSfaulccObie8rDGUQdapsILx02SXhp/AAVpavsshWjnNoAcb
yRPCF3aSOEyd/DGQVOIkScV/oMOP0OG3+UZG3f71VHT6VDx9/vf//XEskn/sj7HI/U02vGsC0s0W
js2Y9YelT/ymAh25yFs0qHaa9f4DHKq/EWjJrUepiIYPUPCk+D4Vid+klU/WDUiPuCMten9D2sLo
9Sb+wZTQo7TzUa/Be0GM/SH+oVfcOc2qVKzMColXEvUpzEE8+G++l98FNX/dx/DtVbAmUuontTrM
cu8nr7IMzVnJA3Vl2G3Eg2Wqt+WQN0enCJQzeMbW+/nrvc90+PZ6fOm0HaouIID9IdNhcSIa3zFY
rpZo4OkRFKoHtZYcFeo8vbRSoIDGRls5i/WrSGv5Sb7DsN9emfmS7gvZ+MwP+/6TKtNkFsUA/lPG
JQaUQcmgXMYEKxHq0sWt3V98s1xZb16Pygw8h4ZsP8LlSXirKf/5G2GSq9C1i9XRRroPkDcWUfFC
FLbGWJCUh7ZVwAIqq/TR40ZbPYtffv49GzI/5/vH5eUN4VDcQS+SQ4QBEOP7lxeqInSgN3tlWe1Z
1hXrqFOvBhp+HAsjX8qBbTz3y5Yn3CYwvrSj6vXpZ7e60rGnGYAsbiXWTX9TFHtiPgrt4Oh3eAOS
6o6yznhqvbSf/dE89M5+sW5G2kszikLHuzbx1akE730wh2itO0BrFIUluwTDXY+5azgEaNIbpMFO
e53Y37ZC2lr+XA72/jeWH1pT1Ve/rWuRnirVb2+/8ymXmXZ6jE0w3yZYmQpaH8en2tJ/cRW/vzd/
fx2ODu5QYZiO9uHLbdPcDdEY2ashfFpQ4Tb5r7qHxWsDyPsfkItVx75GeZGmcyG9/yxRR/T/MA32
qjMt5aW1g8pZazJSIH1NFzAHC5B/SqrwrBxBeToy7Wae89Z8Xr7mEywyqgA/YYvWRQYYVHAT1xSs
qi8kKDSfKfEj6YASRVIPijQNKtju0fgU2clc+PNrRkIdVmigzbaUtagB8BlThjKCmIXTes4O6Wva
wlwMDVNfTQiDlbhqvK8q+sJImsBF7GWvmQ0B3rhP+muSw6DzC12FsMtPSao9h27j7hsAkRI0T4v2
jpNiJSUOIbsx0pmna6qktK0yIvT4B8J5jW8I0QdWxGrZGCXCDX9QLcT/YLhImxy91u7qtM5Xepm3
AHjqOOJUUcnxgLGLgVaduRhxIZeLjlA+DZJVHVu3fa2PO5JcnD25Ijaw5JRbqb+kHTRIZs1wgya1
n+dYlLszRRuydlXPebSsg9oN8nXugAuinOudK1ocs+ssmNu7xpr4R52Cdgplss7Ks9TL8KBOi32L
iYc4XfpFjE9x72isHIEN0dFq9rGcQmJdWrotH4Y20a4KKj/ZMnLrc2LUiuXVzsxNbOlbBt5i3WHs
jT3TXkjiDGeWx4keNvjwrrGf07kxH+u40+5sZbKvf90OGgq1vTI1S9waJcvdZIih8Bt3bpsTEXOB
+N9qQqcKTkTD7KXikNJKfoRKDLupDOy7ua5BK791hYqA8jCSJ15me+hsj26h/9SF2hSNYT0LU1DG
KS23Qte627pk4QzVZFjW/K9hOdSvNusC2yGS7jKTxcbO2I/rAm0BzIJ0r1YGlvILXftbTaKhNQ2f
Oj5LtEJJwSwM8JAf8kBMtH06ck7rBlqlUHWVbHp6ht3ie71omqftjUGwxjTiw8akagEg6jmlflWq
+rBlbNaRmqefwopeZIgAMX+yw9ZAbB/p07Lp46CP0bjVxqndjXPk6bh6b4pxRnoeakZ4qjKfPoW6
eVcRKUJva2W3xqeOXOU6rL82dhP96iATf3ZimhpVtBQT8sSQrVBvT0w1tepySmwcWh4r14bzurya
pEl7W6JK8s7m1CdIJvF95fjzB9T7QeDbEfr2heUR++bxGIbKINSUFy5uBty1+IGve2UVrftl9fpC
/yCFb5BCdNuIsEHN/nokXmf/Om8+Uunf/tD3gRgQkGn494gLmSDxx0RMyAU8uG6rRFHJuYZf6w8q
Xf8NkFDOxDqMvkEgL5fQ9+4wRjlh8gdg6Jn2GL//2xMxlwxcr2pBpVs8dAm6+zBRUUSJI544p5XI
8RePQ35LAsT9my/lT+bhH6N1eRFbA9zUBRkIxutc9ea6bALR4spMQRpUh0EphHioUGxd1WNWbcsS
uZwTU6puwnGsg7JTSG/K2l1TaUQZjKiq5jLHNYEG5arp0Rgj2dW2Tm1EL3OjTjsEyKNfpy6FfUVR
7Oaywr3T4gr++aeQN8+72UF+CLBevn3K1oTU37+9uZqxcCLTKJRV32MJoWEU0iSKfjFsCTmr/+xV
PkxbAfdwVA0VX5WZYYTXYZ4Q885UwBbuNsm04qC4tA+DTSc7osE0H8Wm+8pqTl97eNT7WVva7c8/
+Q/HivzkJlMZJXiaw9X4/pMnnW0mXcJ7wjp5RDNCAIde+JOiHxtzOHQG7E/bnP78NX84Q+VrWtgQ
UIzguLA+fNsj5fCRRWkWo3UeySSnPCRN0mpWURvlx5GL5Bc/r+BO/PGbdxyZMU5LkfHx1DYVV1Nt
xcarqQLShX1oriZRTMcp60ufiw/+P9aqDWrUaF3Mnb1ZiujKaZ36tihdkz0SywPmsgmKbwx2P/82
/vTaQzyjOvQ+kOj28RdQDGBwi2uvQGGwT+zoaslF9osX+dMv4D8vgoDu/c88ceWDnJbKKnYEokIM
HV5JYNlZT9H49c8/z49lUPy8jmpa/Pd1ffywsjKnDRPST2VFGJoJLK/NWKrxwsV6ox1Jq082Tl42
Z67ZzWue4u2u7+dkM/QjVl8j1r/+/O28tqN+vOuk1YXFzuKxrX94O4raaZ3ddOG6Twn7W9lBAo6O
ESH1XFzHkvueDFL1CaRjoXZr7TIp8Q8kRb80IHUC1V5pWsSEOJUosAtGqvmoL6nIfINOk2DVd+zE
egppgJouKZ57WyvogtUQzHl9Q/8sIhll6laMlghY4G95XSVQCBUE80O+US5JDuo3FtACJgkTfhmd
Rmnapj7JAJLkN936OssFZdCdEepQx0B0z5D8Y0MEXpNjpYgHqYq3U40OgDjTPzdz7xZr8gT6Bftt
UiGYigQRHNFgYLG1w7zCGF5nKtJvE3vw4lioeIw5y4kOImtNun9UKPI35d+iPwstqzkD9LabrR3W
zD1LxFzuawQmfv2vdIFXURSelrzTxntTCI4tH8NrolZH/c9LwZNEm0y/YCqEjI3Q476WgQcD4hPf
qtybSvlqEvnxi4vmx3sSsAFNG1GShFThlXp/u9TpslhTpAU07sb2wSCI6IgsPTv5+aUpfsAcULdJ
1ZzGjGBrIFjvX2bkoeMs2sCJlMKNLQR1YAM1kuEEWTcPuwGfMmkTFrKjnAM6XvDMhgYEkzl2XC0I
Tb08HjQ/qiJCGaa02fauEm1LmXD4i3cqD6H3N5F8pzjawAgEiSofjuxUSTDnl2aw0voGbWjXRGsr
w+zTEKJ51RgdXUnp6G6Uapm2GjI5v8hqEvNTXPvLrCbbQCnEulCcfN9OobqxtK7ZkzEI5eb248qo
nexXD1v5E318xy5wA+SpAQT6scWzis24KSA8V4lMdMFhn2LXMElidJfxE0W/2jm9jalXtCwXjgYo
vSpEmPg//950ScR+eBfvesw//MLfe8zbIhxv07R3TpIA93tpL90nE/Ew4SF/UWpetjOhMJWSb8z3
zeaL2T/EytKt7aWKVmbvptsB5e0+VrBWBE5w/T9Yc/4nN479tuZc/vM30yA7+3+p5twYQwvKbdbu
unaKVxZs5kZXh4J1tf9sl7G7+fnv8OPjj1n6e+3yR/zpz2qXp0YtD2YWXL2+0j/b0/vtCWUuz9Gf
bE9t/qV5yl6e2recgqxffv2Df2xQ0i5LhbIrDBsTNcl/bzcogbZBZSw1kVy8VVqgRTb5a2qRDXly
ckZ/X6DU31AukyvNf0zGPFfqOP7OCiXPte/3rwTBhY3UgnOPU4SsQjk+v7mebcWqYs4vsYoQ9pzS
7pJs7HgsV+5COIUSRfMvLtT398/vr2e5oJuuZgs+4PvXC1ETJQniZ1IUpuIwx0W2zkhX+tXh+P5Y
ki9DM7UrSF/ULZTe9oeZs07ULihliF5Vps6FOzjmlZPFp8vQK8hTTVrfSYE/zVvwQiyL96hFjFVl
hDQD1Gn0q6fgj5/53Zt5TXV+8x0Hc1IacUys/BD14z6rnOysyYZLxbVkogvBsEua2l/wkOrn5O1O
fkG67UqPETVPIzrwNOqRsZS1+FuAyw/f0cedgTlZJdIKPmmcxFfbwLFWtqh/eQyTCo1kYgyxyyX1
XHwrb/9LTP5Dlva3FyZ9i2cWdASIw4drgDYwQGpDUVc56PEqLdENI6fF1xyZ/QWGxGwvKv6eGTjO
Sq1lDBpDhPfmbr34doW/pbk+lIV+exMAFNxGrwGZktJ7e+HHJSSXthCGqLlNumYvwn6tgEMGdh6s
o4wsrwF6G7+eWqzMLHUv2WuHs0WY05fZyu1rQifq1Twa+cPP39iPNyQPdOgZ6VTAOqB/eMCUxC7U
M/zcKkhwCtVLWGzIRdEQXvTKvsxwWf789eTnfH8AyAFCI7CHnwLB1Qe8b3RK8t0r3JOaO7pr7Obq
unPnhQltsm/MaHEBMISBRTLKgl+syVChP7y49OqbeCvAGg1Yzfc/wmQuuO5Md16VvdJs9WqMDllZ
kFTVdjO60nY+VvrQHa28p8vQsgrjdNFJZtz0ekLkBM3hERoaPa4DP8k7AGXyQ4mtCcIGL4M7xozi
U9vZZKKNqWETGdd3oTc17bx4UWm0F6Vwi3mNJKc6tqHaz1tlbpEpT1NeR6ToxGDniqirMyex40ey
q0jcyo0F+2+hZ/0zzoUuXbOTdU+1qtbEBVB1AFwaFiJZTa1mXtljShxSZAlSbJYGozdiV5QlWZDZ
a3iEZkZc0RWOl0bGYG3mOh3OLAeI5IQ0PaT/Q1+ZihTthNfsfeGRgDlsy6YbyRJ1QyGO1UnIKUPE
HFTEFFYhUWZ5PiJ66+K0IMtJqRD+k2/AMtzo0TYtmkNKzvSFNaXarjUjpfAmV1+8atn3pPR8nmbC
1AiXy5L7CGkVjEiVNip6E7P5nA9hdROm6QSDxj51L4g9FzvLtGcb6b/TW37ap9EtEZPWrdQ6txvD
SaZWmtk1AxurftIQnRD5meLo02qYDDNdz3GkXU5QKdNWD5WA+6k2ITWM1NxiXR6zi7ipM4zscxN2
xMeAJa2bccY5EONY7k6aTNsreZFXG0wSeOVEOwULyuOAyiptDmwM20rYWkRR6Y2y4q8hhzAoZESk
TOqeHQAJlaURib7lreOCMNKFpCdDys8HeBa83SKOVC9c1Gptd/pYE8bVusYa0/q0EE3QDoSfdZ3h
+oakXKJISPZFNQv0gOZ2JmX2iqgxPlArCZtcUjf2oIurRtI5xSuzU0iSR/QlfE9tzNqxi3vjU//K
B6VD6NzOkiRqXvmiySXqhXTW0c3pZs+bm66tnCt7CKXo3Wjcuz5xbl/Phn9mvTezHkkm4IPw3m+O
zdVT9/T7/+XsKf/yv//X9ROR6/9alXlchOW/Xr78Kyvbf920//4/zwTPvB8B3/z7vg+BtgHrb5HC
bBH7LNsiv8ttLQncQGmpzu9K3N9hdAY9jdNfDnoqwhEyUlze4h84uvobtlbmSqQlPEWFtJH9nSkQ
IO5PTmKTTBdgUhdE3fpwEhttHZcJioBVrrgvidM9xqrywkEa+YCO+kni1M+kjD2Y5Ilssd9N3rQw
uOS9eq+RX0lIVXradTZaqty9UIZe2+mD/Rxo9BLm6ABVK3ixkwT7/9TsiPA6MbDhbLCwkVyLtyXK
DesOkGKjLASSiSjut1HKwjrNSrLNUCVOvZk9IjTD2Kx20WWbdAK/a+HeZgag1mCPKoKwosClm7fo
+60b/va5aS7lWa7Ps9f/f+rOLMdxJN3SW7kbYILzAPSTKGp2yWe5xwvhU3AyzjTjsKdeRW+sP1Vl
3a4s4F7ceuyXBAIR7ukuUWb/cM533BsZLPVMZHPot1IjT9dFDlkuEYCZxjwSOToTpDzgjG7CW10b
xQkzbAf8Wb+2qTgq25w3HB5FKAhL2AwkKngagZWNXvzC8+s/5oVi+l+l+8kMEIcp75eLbtAqp2fJ
jxD5uaNWwVSnoTQYTvnII2xjkby48sdMcV8VXjDsQLadEtvi9aqKk1bk98Mwg8Kui4fYuDkyGMUx
EDHKfSZsltmT9WbXAIYtPGfYZbKdRTJ2no0PM5vBsO0SzO4yOYukvndJNo8gE8jtXIl+5arZCDOr
+aWRRnSopHvJPDluy15ta995J8AkxbDUoToN1Bk3mbOyMUHfk3zzUZJVEQaZEBv8aA+t6PbKwC0x
jsYbC7xnq5Sc5bmOfd5+0BeEO0GKxrgzob5N88a1GgvkEwtFVXEN+JyyUZ6lH5IOKcy6ZM07cc5k
HEejk98npd+vSjvdyZlBWNGeMt27B5J1MCo18rONB5YmWP81b9UMtbspm+IhKNvL1MfwI+Jx5XnD
DqEtmoB5r6fWgJ+neoUFcYczJZKW+9BAMlw1zfI+V/lDsKRsBry2wwdpQmhlHFhgeJmWvZUuILzl
cFym8gB07kFW3gWp1jPrjF+scq+aOd9cJC9pHY9RI/wDTU7PML74yHqA16o1HlCb88J77VfS+VNU
4h5u2h6ImIcyklWbBuNywBCNrHXkrqHqsr6XdOIqqg0uv3j41BL3wYnhAuU8/my81U+Xdh2bUv99
6LiQgRaXNvjoMRWCqTQItKQqh6MbAz4WlR1KqGBdgKq2cH6JFmJc1r+h672Y2fSR5NY+iLMnA5Fs
qrDqxVTmoE0eWV1E3PlXxxzZWuHDp0s0Knk/T+Wu8fILqRR4VPrygeroQdlxH5bQbdlVHxOrekqZ
Cwu+4yyjAQ1raOirOImM/ofB0LaJ3R/LmY9LPN3XbrfTfcARSxy2lhZ1ZCDMWoB4Ob+oAIQGPrL7
1IPECzezQd2d9foxSZ3zYNXV3iuWBOmqexi0PsE55V7KevpAQyMP8dhvm0HcFzAjRNut7Q7KQyY3
fpzsuoJoKjNN90HWvmbafO/xmCSi+ph7dyecnsel0/NVA/wPG8uxX6YDi9C1PeaPc+qf6tj8lOPw
C2/mejGXJz0TVJe2s2Znmn8VyvxMRcK8ytwKJ2PXb+ivhgL6V07bfAbCMw9nWL6bmzo0VcaObJ1N
mhfXJbARki6fwjHGw1RhtLQxGBbGnfSLN8bovxoA2By4e4knrLZQ83ROv8FbcCUDCDuiu2v119p9
NP2HeCEaRzlbW1Nb064vXgJ9yu7jrYMCQTTV/dA5URbMV9Q+R31Bs5yMIyYrmJ64/KtPCvp8ZVYY
xZJgl2vd2avNFBegf5GpZ0BP7yHVL8N3MScXq5tOnarOXqd9DHp/TvLq0w+Sc2Wn5wkirq2yV1oa
MLaiKngW620d9Juij3yNutjIDuxfI0s3IvyRAstZ+prdTK2C2vPgMWBVoxHFhs6x3zgmYD/nmUH5
gGlYqbANAsxFpn6Xs4Ja2RAXsjihALWdc+JbsK76bRBk6mnp7d+uNf7kvTzkpv8Z6/o6n4YL7rpN
bowahNz0hdOsXqNw+fJueIp8tO1NNrtHU4KwYI63GhL9IR2hoUOEOLpmsZnG5lRmVIdFZt9VtUrC
GVMK/Pl7rXW2hHpowMUB0ceCcz7N5r3mVfdTXF3wRpDoQWDR2s/Fzh/dfTt2u9Ha9X1NuJh6xOi+
r+zXiel3Gz8tPmo6qtKxqL8rbTcs87qDXdZ030Hu7mKjeUXWtHLtt5ErNyyn9NhL+yVx6JRi0UVO
VZ/pQQrkK8MDxeguaGGfZOA2w962yU2Yqnlvg+GGF2HxwnU3gRcN7lxxaqLgw5mQnFx3PgnRRy6t
JM4A62HSYZRokolRpaHvmllpY0W7V2Zzpk3+qauA/qHo7ltD3ZdCPwyW3DaqtfBMD08ynh5yVDIr
zVpGyJKBuQJaEyaljKO+9JLtlMmfmXlEAQZZVu9LmRw7aqKwbut9aefP1MLI/LP5XJV8S6KC8AFV
blSzZIeokR0rXp+WjyzkVuTfXXdM3fzcjOCkpVeUpzidvvymLaLWYK3AXRjqVS2h2IDltNP4kExA
aGxcRWHqGw9604NaVem89Tr8N30ryzX05H7Vl7cUn4H4oLioYFPFtFsmgDgbQcsqk94XQUDgVVW+
h1eHASh4KyqXNltpr7HbYFJxsMeXCUkAPie9FeyD2f3dcu/ta6VdiB14ywLVADPBCJpih8fwhy+P
F47iTIfO4WnkceR5bK6DYPr7vO7fagEuzU/1NHQ/P8PdR/O/bl/6VTfEJiTp8Dfxxv/704U7Z5Dd
z3/wD/v/2KCLwqddV//6NX/5FtD9/vxpbmX3X/4Q4dcY5gf5082PP70Uf//fofy8/cv/6V/+Wcg/
zw2F/Mc3Jfw664f/QkT+33YB+/Lz41N2H/888f1TfM7X/aPa9/5A6I1ohtYXCRUXwj9X+8zoPRbH
0BEB/vynZEb/A0UwpGoENfzH4q/5oj9Lff0PZCcBYTMgK3wLsAWLnn9DMuP+baz314HPba7E4ojF
Kory4F8GX+PiBQELeYUpB+iN5fcygtUPCCCYgrWmpR+TAf1YJlaz6vrl7I/03tbkZXt4sliOPaws
doP/lEvFeM2X2QGQ3/eHJY9p8XvUmk7Vv9iju8290dm6GbQroTjXHRJLtvE4+zDHpidr5i9WdtyY
G3z/GiilscVYIfnHmrrYAxBgfWqcI0tY4KaJOCzsfceiuWqdp0fVAkrVWoZyXRYKqP2g/+ZWQpnn
8cN2aX0eitghhWv5LsBGr3JLT4/BEs93i0zd/S3q7GL57bHUh3YXKPzzgwN0LpZAHhfhnzguWD5Z
k7bJGmxyrZUgjHCsC/fPtNY6+bAESGDz3t8TkncpJ7znma1Opu1RlyHd3/S3wblhu+OZAuY8OZzz
pc7vYbXAwFoAHfQ/uPfzQ+2iO0WxumzxzT1XtvMJbP197MQbA5EvNy1eRoAXVw3JIe5ZoDeg3zBh
Le7rCFJ3hxoYBlw5VEe79PpdUOkS6wy+bCXrcmvRL4WNWowwsT2FPS/YumMLzoZtQEQg3iNev2MT
eHdJMe3YUJytKiPU0cfHnFVVKL3uKzcmtL6zjd3dk5x2HaQkAVIp6GFijgrVTk0U0MyNbcdBTLoK
zHOd3DqmbOkFJCSzIeqQWXL09gFsJNdss6PH8A4sb5CeTBdKWKm8FsNMUt/qd57DWCP1Jnmus9xB
cwuE1vSAM+nGbpxEscoCl8kH94PAumUQE2gV05YaWQcwZyBrKOzPYOzAaI6z2jglh7xBtkM+muGc
p+eMuBC7Yi2r+7EFDW/cFiZLUVgdWPWzdeDy3PUd37DBSmS1ZIK4c/ZepwXkanM7TOJHCINkhdTl
DVPnvi4joOsTCDHihhzzXHbLPneyc5rqT0NL1pqmxXedIt8wm60n4cZnty3udc/dm3a19aW+FlZO
9ETQnNLBnUPL7gmbKdLXBefgMrl9NI8auKV+JDAgJzFRlQzu8tc+td/UUB9slOehqsbIDrp3hM9b
h4N7ZYPJKpL6jqvtVXeSLYSDZN2ZX7k7MvFLaq4xo/vGVVhRVxN/0Qg5huQKbuaYcnJRFpQP+17L
c2BdVvXaZc6Fl/5H+cfAQ09COVJrqHkDkxSJvCUvQF+3wnjvFioYVwsdoBOiwOXU0byKMVIOjJY8
KV6nwL2r++AVGN3KTPQtT9nazwSPDZhlMfVWNKKBIxMbtcaiQa+SwMrmQEGO6KdtDPeOUgT/q0P5
uSOKIjlnggASxqwl3Yx7HgekwNQpR1MrAlrW/sllFV0VOnCppq2e8yLr0ISXbBRk3IQi5q1fNP6T
UUhtBpJQQgvvLmoM/8HGtb7WfEeAjdDKs4uSei178JJ25fHk6N55dBvx7I7Pxhg8iTnYd+lEeIb1
2g2dOjODhPVlZRnuSlQOQsIHA1OJwKEO6LFLnoy+jXrCTtYi856nRj8vPnlYTZ1/qrKSUVokpCAF
HXHpSXDtmkQiDkbTM42DCCW6uXU1j+K5t1KTcMp+n8s2ZmriQdzJnY0S+qkzUoi0cx9Eed0TsSHr
IRw1kPONDE6NUWhRYhEhU6c3flvsLC/C7ayt30z6BgT/N87JdF3nUGrduHpMsQxE9EVAQII6B9VK
4gdn7MoARb6SA6SGZeAtDwzirWIYiVFpnuZJodW2YIb7WgHPuyt3hiXLiFOU8TzZs2co1vLoEZcA
yMvjiVraNFmDBYxXdek8F7ORbWOnr67+It9oCV5IEYGMFGbElWTzNdPBVVvLWtanvNx606nh72N+
ObPKyDhKw66YM7CFxiNC7rAd/O8YNRAvGzDTdGuX1Xc6EcBlF9qzZ2nPipsE+eVT1QYrg3zXKR+S
U+q6BFDwcIBYn/39XFnrIRVRPZofg+0cMhq3pGgjAEsnVaMAR5CNRmSdQhlxi7OB/dY8+MqPhLJp
U3GoBuicKtwossU2qlXmun+b2nsnWJ6L0YyYQecrw001UlKsbSPjPVZXTANhm59srEmJt/WCNzeJ
yLoSy3FyZZRrb6X9lDDnGdL7MjHxk0+wtZXzLPRg56Qffpa8uZl6cMt5w5SoocjtXhWhES6BAdkY
phUc9KuewcoVVrrvLPo9q6C/6dNtkOwtY77zdO2998tgnWtDvEr96hWx3V4oz6R/AlUnA1iYsvts
fXiBJFYSFFPY3a+h6oujX+Kb95fm5JC5ukoY+WCSx3BLSFaDQk3fidzGn9PbkqNc7QCC3Ojgb54G
wSPLsIzjo5h12ivsLxrrg3k8BZaVkDYk74SIB5BNy53bzeDCyWdajQ7z8WDJTv1MtB3v7VdMYuyK
2WwDfP637fF/Hebh3Sy6a001EmVVTdWd27vatutDMY9gj+RCpU22VjazDxlxIBMXI3adzUJoBAd4
6gb7WBXB1zJN18F1nyVYkbSp75yFSRxjrNUoOh9LdT9vmMq3UQ6hKqyaGXsJXCxaE2djFF4B70bp
4XSLohmL5XUcJWjcycjoDIcIhAHNMp/2lWulxnpoSCdQbEXWrMH21jg+94ELe4Mgor4wnuBHPpI0
qlbCGos1hLAEr0Z7nxKHsbcTezymQ/Frqfp3O1Bv4hZCNBrjL2+BO4Sl4KCzSnEasfV8pl956gtA
m1RXgD7uicb4sbPkki7uvarmz4lvufZHrsZWVZtZd47zQH7L2MQPvR+fbUD4bUrs0ZJE+Oq4Gmvn
k37t3mp0MyxcMAeJhXSQdaS3kZN4tOF01i2BV7mTnloKUJLzgCtlXgG3htmsQdDfCj0BJyJULhPq
JzacZ7fiTY0dh08GK7+dKLR3ux09vAkTRaeeQV/hByj9zuDlgxMB2Iz6sunsVcJ47tgYccVng6t1
KrEaxEHxYFbFp6f6L2m0H5k2xnCADaZDrrfTJgxkvTeTfhMDbDMqoww9j5AefzzxBOw5RJp11spf
idF6x97S+tASBOfaJhkXMCrbNZE2+m9jTunKl7u51D8BesObkPB/3RtfrXBfrIRPpNn0ajW6gCFZ
Od6XdfkBcfnKg78ZGp8bHHKUlfh51A3THkZnt88ZA25lrqs74gxq4A/2FUzWhrLy77vaf6sPvMu+
urqvfw//2s/9pSP8/74HpCH6r3U/T/ILRvf/+d/1X3Q/f3aBfOU/ukDnD1Ri7NQhodwk4PR6/1j5
eH9gB4ZLbyHxwVfgIAD4z5WP62IwoA0Enq9DPbmpcf5p44MK18PNyDIIf7Jh/1u6HwMj5F9WPq7l
4AMw/JtTw6fnxBXA3/+TLMUvu8qo5pvUxK5FpKvSCQtKlaHRPplVg16i/gxnLTlIT89C89EKli3+
+2+Fdx4FB/QQ5iI3g5OxrAsQqQUYARB7zVtna3d+Mm46RvIQ884E6RAjmm1HWTyWEwE/bfJMtKe5
alPzXbdbhsnVi0HAfK+7d4HL3QckHGx/EvZERcjaCpdBPUrGxY0VmzvYa3vRxc9IRWFaxeeCoB14
Afw5ODDMfA60/Jv986FJzccky3KArDX7KtuLxq6O0rJ74Ub4lsP8nnQWchxUprlj7gwPZpmj82qQ
JMUYCz8k+4YigjdOPIzmPQZOt7cQFeve9Mni7hnuyF1ae2er7q6lr91zmyQrEgNveNi71vWfCLEm
Fg2ifAurS4Ni0igNtUFvrozKO9PqF1RG8cEMUCd3s7E3NBP+65xyGpfbybPuPHfYV17z4IzmJqCW
p0y9QI74hcUscq343uzhpHhtmIz9IbfKB+VZL00LclBoBANVMOPE3ptwcTtmNMPFCC01obicvy38
3fS+PkOpBWauhQq3Ac7ffSm3/qyXeGcrfm6sfWFFKF5ca0fduTFYbcAZunXsO3GUOkFCS7wmKuCY
qOInaZaftku/uQc2tTQ/cFd+WWUf1ot5r7vtkxLiWWvYC7bWCUp7qPtoTATlOXjqDcM+GSJ3S6I+
BxJeVV9DnULZHs7BdDMsz6i02qjlYevIT3IgPoOda4v5O/HjbTCm0TT1vxwHf0lMWEgTWJdu7N+G
VNtUkCYAOPqPC6KdlWPdXHi57a7tJP+gBfz2Cjoee7AJnXeas91gssOHertZEtoMAoIWoz67iwLM
Mu3prcoo13NC45rnrHCqtXQUQTEuz6zVdh9xETwFGYk5XWpDSK5TgiZyqgFSLR/IfdvYKt8FRKaG
tScZc9rEq86Q9le55oEizMTjEmhwftzsKy5tIkB1qGVT061K4mujzNb6TRx0P32Q5Gip2RgZc2Yy
swFLg2boBTrza5YRXkC80zaJs+tiZNfGsg9mNm6hDW9QDfBpZZPVKOedPK8IRN5+AOpI1xFvJjEd
7V5/Rh6T07Yy8NdLEaWqDkcj/0yzaesMwRi6MTQ0u38jXwH9RvLT6tSppfXRWDUBRDB14s4gD5jy
Z16mdVkN76Vt/iKn95B5/QZjwbaVBklokl3a/FjJ4rmKx3W+4CP2aLFm6fxIkJoO1Bmq8GLXlv61
rSGI5P4BN+o2URB7b5hxzt+9AWh8GpenrvZhCGX8AmRemAlROw32csZH9uJcCdTY5w1mI9HswC4+
GnP5MmH61URw1kZidysU8P1srMoi3fEZfph5kJJsuUO0u4O9Q1aRfgN31v06NmMrdIRxtEz7Lr4N
ZabWZA82fZnGtM+BXjt9zhi45w/kEIlRkcAUOGGqKWsly+qidGot4lThhhwc/XbI4iRjOPOSJE7k
mDCEWxXsTfI4Nq2WfzWg2T0AicQPcQJrLbGQxXPtCyiHNGmZdnAXOO9Bvpka79PFt4q4/dqQzCSW
+EwIKlRPxWwaSv9OyXSd15kTDa2RbjytmPdG3L4Lk8AwYWrZzkOWwvKuHx4Xiveo94L6zjfIAJ3d
yX+oMoctNpSiN8+zmUM3yHpMsJCjvSnt+RarEsccDp32206ZEK3MpvqcKcFBk2o+LxnM99JOrsDi
F6I43ffKHsxtagfVOnXiCUDRkB/bNktCqd1IUyCA4LuzOW5940vlrLNloMZjMcYHLBw+ZgUTDuXs
PwZBzrtq+HLTT5WDrohIwxKr+da5Sa+8Sjy6CHTDwSqqfdD1T0vX3ZbUhr7XGRMxBavHV7x5nJU3
jeFc05WZk/IZ9xkKk5T5IoL2EQWTtcWr9nv0E7mfjP4J8hDaJ23ml08TAr3Ka1tV5ac254RkeIW+
GSVRfkxBa9xfAbO7UqPRp8leJw4L1JqyNJ1YU5UBfVanLqjF+m1ra+YZTjeo+rq91+FwrqQWF7uU
8GqRF2+LwfqphMQVwqfn6Fgk2d5QB3aWMRB6ypDnMZei394gJ3da1n46VQY7KJvSXUPExEWYRhyZ
U+usA9UxtkkNtc8QM4VEj3qMdvjw9jDq13YNC7vHAb0li4MZaH3LRWPjuWrAoYNTJ4ZXdaa4KJec
KLdsnm32S2EmZwcnUcKEIDaeEUZ2oeLzsnFrqPReWj8NlfZjjghtp5xFTzUWv5HGwNdJR3tNruMx
Zbv4m9ODxOou+bH8uV8FqSt2GUMhfPq22JY28TrKMd+7cphfjEVzN00n/XtwdnO5811+2Dk3rhkj
I0ICembOhKysBg6fsK6GdO1miEl1drlhvCTehfdoXhs8a0dT8JZJOBIbn4iODVm+DfkgjpdtfAY3
64ZaYGU3I1mbQblL+q6lPZnkWjcmZ9eMjr5ZYruOMg+7Q9Wnb4Vng/4Ecrgq8nqKfLP+SDV2/Ukn
AcZmIwlChOhEOOPnbQ5OgmgbwljjdAmJYch3VhXbdw1zx6xJsCxZ9CRsnfj8gHweO+9ayODbd2d1
mZWtI4hBekLu33UeSLS1SeD8WDovFFU6wxgaFgJQKX8ID/pM9eBq6ilyF6ckOCKJCSzJgbc2s3YK
YMauTFmK7bB0fF5yLspCN8oLTPMmMskHulGxSMxmuh5Z5LKjGV2ehAquQU7P4rvOehGEzVq++UjE
DoNDA3fREPDhT+GCcoboEbGBfFb8auMrKGizscutqNVTgsZNtJdNQVR957vtVt2wS8sSH6HmJUd3
aZpIFyQWquqXFGwz59jd+KhkNPf9RlAlQp6xwvSma5SrtzDvwWaq0pGclms3VR8/Wu4wdRFustd0
WtXYS46x9+UV9s7g4zXi1yGc+gxr7jsx3YOCFL30BB6mWQiVTdOZxhA+/z1Ahy+WYeR4F3ut8DeV
BZG/Gw7kot2AoqBdh8b43efEFSAYAe4FxYvaBcfTHR/2x0Un92IuLtQfkMas+2CWfaSJ9ivlEGj6
36IadjH0X4Yt69Ekq5LYNTzEzZMAPJyWT/OU7UdPvzPxEZNiRfoT17nu5G9J7fORCYxVVea7xmz2
MYHzcikJMqRMl149hwpsWKz5bEbRpjaD/lWPiNCneI9EOqxFRiyEFtHdk3lu71szMFF/10yKjNtJ
r9ALtStruVMk7E7GXeurixckyHCId5W2PGW5Rmi1ni77xlG8oEyqzFkphCP+loggNAeTV4YoF59h
qNHbeseW7rl8bxDUOt5vY5I3fEyzb5OLV9Yb3Vkb3bvncUgG+syEcvTXqWzvRTY9tUlMCEkhrlQV
J9mgmRLDsU/4rvDJddSX8Y4UC8LBeXTWWu7ve99wNp1HbWcS4JEAF+Qk1Y1hk+fT3e0EaS3vNZ/I
xAa0QBSMBuag611F7yFgAEsXySm/ncyIGKjbIILJGhEMfDUGaW0ICmFVtjzHMeMtCveln4GwngxN
XZ0hPgoG2STBKG7D71gYqHMziaIcULppx6HTl996cczsKHMGENJcPUlXvQeSQ42RIpLpyMMzHNwc
vCw3HeGz+w/EUxX3kdD3+dIc2TMd5SwiGD1F1PVZw6YcUa8JxIkf1JFRP/Tf1VjutVvupDKMC/N8
L6ooSrHkiWzjTuM7oGLE/mC5t26+gLQ1uuasFyxDUph/9RS/p6ysVi0H22EU48RbK89o4ykbDGRi
rsnExqKBes0wwjL40rrXYDQPutHHuzqwT7HgLUT8Ql2apem21MbiPulta5Xj3g9zs7FXpl8sa4uZ
NadhiSCsrM9wPkzSbrJm43MJcfOYd4Ovms1YtWdhEhIxLaSv1b33ha3lqUBMu8r8mYMidr5Efwtf
EgYxXt74ZRajRl5ne9BLQx2TBdKNl6QhfsU50hr2QpIdnvLdvQqyMYrZ7slOEcvsGZfmtvjL8hsT
1221TWH77GPYDwa3RSF6IyCLt+WhuK0Ru6Y5on5wLlrqkFtLu3VX2V0KLZAONNW3aLE+yaJx2A3W
Z+yenAWJw2CU1WUZwEFPMk+sWO7fE/FFphcLrShxyqvO2lNT+aEaXXLLeF+Pzm03Cvr0omDbIFbD
POGOA8oy79RizV0LsyPSYoLUzvaw02S+HpJ5G5gsD02dUGR3gNTpzvo6iOPXih+byxcloiHjn8Ur
fsFbhA+UAVNsNTCbvkF1SfyOtwJ0+uM05nsPejz0LSZpBJOfWqPqngsNgN6NssXKrH6E9mPQ98gt
C0egfI3ZRYIbC9xQH9rZ8mXNND9SB1Y0TM1tlUL60eC31Ma0SnKuEJw1kL4HFN1Fe2PuFy5RrCj3
E+Q/a2xwvJ4m+UXQeuRJX8YvfdBeAGiPMAKt98rn+G2BE2+TmVS19m9cnkE7D7XC3UMq0cpQKH20
0QtYHKAEKapJ5wMm2pXRlDl0RvKKpqwddn6KlpU8vYFKyWIeXBLAICRfoXcc3PCSAcM74qGcezJA
FoaUizm/z4X5gi+TQaSV3opf3Q0XncRRn+1GMrQIxoGX4uapQAxO6sWMeTJAoIfG2F0QqH4QRPUT
wLUmFB3dD5Uj0vCrU5U7Z8Kr0hGFKwIPUCey+KAwh0OikmfEg1DpnUKs41LvuTEqUiGaTAtrEDKc
YdoVRvx1dAhZliVQ81E33sCLf3hDcT+O1Qcz8SWkhGN1XzDS1TNEeGY/n3F4P/JROiSB/qmcst7H
OrBISY3Ifcila/rwzhWu6akzt3Ou+1zo9aPWie9AgAjlqLEPlWntyrr4Rtb6Ox7SazrGKDm5vCQ8
pLNOm74bTaBSt6jwne1yWUHSNtxdkNGvqGYo9hbYp007ZCrScJAwUK0BSNaoxk7Ub+RmgXdiKsAn
QPM1sR8zE3NHZ/FJNrzfTla4Ydbj5iBdV5IY3lpnkzDfTVWA4nAsjRQaN98si+bt8pHA5Al2yWYe
eHr6myQpiat3gNY3Wm3hstARD66fv6YI4NjJkB5hktXBUoCwWUb0IWF5Dkz4YpfnZUoUwnRt3SK4
YxuGwWh27rAKNlGWxOZza4ChKh3tgzP20gbWrjOLc9MjqXJBqtptdiumklXv9hqFBdlbwFojvQPu
Xo7jyRzI1mBtgXbB1MKZ6n+VZdPbAjOucePthMcd85L9ptfJTwemU0vjPUaCR1/WcCoJgx/8ctc5
wVuNCnLVLQNU2CUuIpHZw1awUJt8twnNOVin47Qg15DkrpfrgNnWKljm99pmrD8Y2bpz1Wacqz1q
xDAp2CmkivfHE4fK8EIJ6Qr9FnPu3g3xAnJLSAR9Y1zPnC8Y7zQr33XxHLY6G5HFAJow8RIlr37L
X2LOQJirl6QLNJxnaTGsldZfqaf3lSqP0mCDiiRwr02o8VwgGw2JTTYnU1PqUaMkE6Ftaq7NqTkZ
6j2frwjLQB1XUR0sK59STek/M1VBP+gJuYxIF2qXPN5bTeJJXEPtBru5E9pWffZ1E65pJtftkpOt
MGebhI0DlLZrvnikZbBzxR3lE+oA3gMtnPtSTTSPOa/JZmEOMVZqg+ETjoEmLjUfsdVoVs6xjrUg
HAhzwXrpmkwOeZC2gXLaqMgUliUr17YZyOJzrVvVu0v63bW0iEnqq6YgbUWz19KVkPQxxz2MwlEH
s3SS0EbzF5E3kDhwTKvlla3puJlNqb8J01NbUxZelHvLbTDWuTsEhhWjUWYUoJ6r+DzFPHomIrhX
Z0EosiDZ2bA8lmTUZXN5ZRtiI9Fr4PUuvpcdzUZ1VIwDmaQVkevkLwevbep3LHdvJFZP4v4um5pk
z67mVB1rg4xn69CRcxbPqL5kdwxSewmntGGBVKI/bfoUtLRI/GNbmTvhJZ+qWU50Z1svzXZ0ySQA
GhtVsJ+rxrYJg9Tzog5/TjzHe9qa10BHixIQ1TmN3VUEcJbHluaG/HKv580SlDOj6x9JykwZIKqL
SwkXESTFLTpZqLIlUnlHbuDsAim7LV1qJDupx6NA0umdo7Gk0Zv5t01W22rmGA57zT4keV3QSXfz
NtG5LniwH1On4HdzXnCLI8FxTmayvGS3BdUskmM11acK1TU3x2+mgPieKnbPsidY1Zi6NbbxX7ND
b6ADte25mzkztmmHYjof76fCD8GqyQ1VDOtQhAFrBdstKqrydyGAXGssibqcIM+5FS9xNeVr/PjX
IOitbQHSub4p3o0+/8hoUI8sApnameJqVWm2bis6irHrz9SBpGYP7aMrZRtWSZUwphmP+OLI+pOq
gOi9IM4U3h0JcfmLVbn2szEY77ry/i9757Ecu5F223e5cyjgEmZwJ+UNWWTRkxMEeQyAhDcJ9/R3
5VGrJXXf/4/oeWsgheIc2ipkfmbvtaHgtvouzABeF20bbnratTWK/ACRlezXvMtBQ6rh2VjadOsm
iX1ZBuWv4WWzriWZ+1aUciNKdWDe1d7GifXo0CStfOU1BwmwXXZVcgbFZ28qm66mUcLb5hn9LGYR
oHD6yBgH4wrz/PpfN9S/yiAJxaKi+1+d7/cppqfyW/I3GeQ/P+6P/RcqSB33zMOC4emvLF1ioqGG
aVjBrwSuv4ogHc22ReeIdhihd+iykPpz++XbLL6wO2GTCvhbtvefqCAB+v5t+aXtvzhOTbZiADQ8
W/xKkf7L8quXKeFHQic24WigZHKfQDaXDJfal7LiZtcdPZZTYncnPfQvHTb+c9fFd7n+o6AFf54z
sUd/jjhgYZuFlbN0kVMWyT6u+yeDL4C2KPWBN2btLulshFOjn16r2WY/r2DilGDjj/24UAkE6V03
qO9LCV3Eqnsyjiqf8JWMtzQKLDs8jZMdH6yiUVsnKQGfcyfvBi0XFiYOeoPMTKJzCLKNs0/M48aW
wqG8KRQ7gtCpBCFJVbttDI4Qr+6frRDHAvNUnyAB68lo43esVcu6NPjMReKQlhm2K48h5ZaA1QZZ
BUZkhjPTek7Gt8DDqdsEKed7qax9OrUfczbZOBRA/gQGenhESNhaUNBsxZhE5CwRk+V0PN3luFgb
5LEINuG4cNRZA+oAihKsITfs6y92ntzb5F1euAuK3VJ4eiWIXqMeKLZKRzU7My4bvuuM4ZThEfLs
JNfC6MJj10pg9rYOwPIxfBkJJ41wk890Jigsd4A78lNwKtH9Mt9VHJxNdZfVU3jrFfLb0A8uiiN1
53byLh4nJpddXG0au3W2Zo/e3Ov8apOZTDLwyj9MJMsQLTslm5QXcuWM4hh34s7K4wtzJAo/Yu1z
UtIu3sz4y5sDhBa2nNDLI92SSN0k5hlhaPWtMb5WoJRQ7M3Rml6MxGSkhlnqp1SB1UNfu/Qmurtq
dZ8FOgftC51Xr3swOqt3mqMfcUR3BnFB4iAejY2he7dFd3EMoj9s2rpQ93eyRKQQ0fKNuvfrC3Jj
HNrBJIPujjNob0QkDXS0jDObtuJXDxn5tFu0lXQVSIBt+qeRljPUIt1Ey3U7Ldx1C2nv3F9qXqMb
kPQTQ4SNot0XWvQ75yMhzz5C4LhEl4EyGNAx2je4AEdSbbuTQ/bWRmgpMfoQbxWMpb1vtdC4HZf0
GGrxcYcKeYh5G3DKz+tWGR9d04UbU4uW/bDgkbDLYlMjeaj1ZgMJxKS1EINWRTgip+gRbnvskEwA
IpPbzuaCTOqQEWG0s5BXlFpmIcP7SesuHK3AcLUWo0CUga7HYVBPLGfu98cF4YZyp1sTIUdv1OZP
Ku9mU+UUtD6AfF4Vg32nsfhnzxs/rIjWWsJ/HadoEyAXsX/pRtys2vZaSxLPqEocrS+pEZrMsovW
A9KTQEtQzOTLDtMrCiYwmFqlYiVOyeLbZ0yvNSylVrP4WtdCGWdRYUP/8tz4btTqF3di/FubwfuM
cO9Q0GuQgoRaRiGbQUtzSn/paBDUUAymK9SVFIT0UEO3oLpJQ14dSThQLsqVQJpTDPIh0FqdMWRZ
m2v9jm/CZCqR9ABM+pJa42PyRmgR/YxlvDfj8DIhBkr1GiWN3TOuoF1QFc2KGPUW7vX81S/uvUBS
RO31w0NiRAdSbDKtOioLHPToKvfBYp4ChEmahbF2M/VRaM1SNfZvJiKmFDGT0KqmVOubnKi6xzsR
r4XdZhtqwwENa/3QI4uqcp1WJ92fslFPPsIpmRoDEmktQNKqKkPrqxqttJqQXCWUv3ejgXJzQo6V
u6pYVym9TU2e13bGCNQMDNuWupcbnv5gHRV2s827fN5VNTb+WO96e9qyFCmYIkBEIQ0zkYhVSMU6
LpBqXMYbhG5gBZCTMYvAT6cVZilSs1lrznKtPqu1Dm0ZxUFqZRr+o2DrIFabkvFd+DwG0vpp2ywk
DK1rEwjcAqdmuovkbdLat4oUPHZK6OHierolwZtRZ9XdRlozl3Q134DW0S1aUSdb76HWGjsPsR37
zbfJs366iPAcrcYrtC4P8+Ch1Eo9y0ezV5lev/FaDj38dDcZoDVC0rW6Q6v95li661YrAEu/+lJD
ecy0NlDELAqt0TmmyAZBQlLS1gnUcSSFLtLCKMbilHiPrA45n43gvbHMnWhz9h1FeS4Z7LpOduf8
npNwsZX7ESfGvopHcmbNfhNW2adkWBMRxyO6CQ0rk9fPoo04JKeBK1tn5Xq7QTbP2GzcVQAXwcni
bZXWN1Jy1c1btzD4MQyGqi0ij9H7MGZw5kvp78N6fgkMuu60pg/2Mgtlfl+xxC5RlXXDV6YItMCu
too7Wla1MPvG0EP5tLBItX5kvW9gphMoYQ1sm6Izq1PF673BXDmdg9n5uVDFCk/axyICNJD28jaj
ZiZuROUvlo9YewnC5mZ0k1WLSoXgvy/DXb7SJgjWQTQ1TFR7m2hpC5xzuCmS8aPEk7jgTYyJ3ENg
smGweoKtd8acdG61mTHJmZRM+Bs5UD89/I5NZN4H+B8dfJCNNkR2dXpQWPMcnJL9AMFhItpCb2E+
XYyVnXZYVlgtPe257LT7MsGG2cT2uWr9DwN7ZoxNk43ZvdK+zSHK7mbTIHhu3NcYO2dmSzD/z27e
H2aMn1g36IS9H3CP98o4N9X3kEDGBsdxbdNTYRw1DQe1XfJgd9Edyd80KNDfyhwl5UJyY3ulibqm
mcWWXttRg/JgYk9Nsal2hokEb9x3ofNq5PGWBfcD3TBa7I4Znja6yvyRb/hYWAvNTnSXYYgVEB1b
DLIQAh+Ym37HugGIBgdtjOfh3I9VuWYJjALbdfkkWG45M95Iu343Bso8l/jIUpHbQ4LUhNXVu/rz
+IVJi71XVBJojqm3Cr2R6wSfL5P2lyWkEpIwYVdED7DvdVmkNPiD06n/VmvHsN8610R7iJ2i/AQ0
220gwp1i7TPOveEZvOoDl8PrZCWf8PSeqN3uzNZjX1+dIgzLttZ7pLF1ZBN3MZjVpbWzDTNO2UC7
nb0yv1bYnwHHeasBQ3Q648jEIN1ilA56D3Oa9sRaau1hpe5GCKF5ESONZpuM2brSrusG+7Wy22Fd
YMgOyIrdlY2zd0lBAfn6ueCzkU70WAUobCcDRYLb3dIORluZl7z8rGCdBrB75FfjWmlTOHqAAKUO
RnFRs0edYomso9yEKb+MgO0YStqUSMheYYo8tooHvTN3iDoAt6DI4vLa9or0PYVex492efHL/r3r
0mhnJBjoq7Hdd5K0lgAXypRbzDH7iPU13vYwrctb4u82dX0zaNe7dKdLpH3wg3bEx13wnmORT3zt
lcc0H2n3fIKNXmg/fRPqkKIUjz3QQ2YJ2O4D7Pdp5INiaZEwZFjzfb8+yWFOEZ+CQnCw7wtpvaWe
Sf5t1BVHzqJxFRViWPvY/mtH2VhgzfvBL86kGGGwBBHQMfg9UDl0DMgW0JrRgwIoIwMA91UAWcDm
Voo0ayDU1AGMRfqMm56aZdxhGProM72T1KwCA3OGL6AXNGAMGEowOyyNS6YJB0qzDrIAb7pFn9AJ
bIbe7L77YXqvL3tODnTCKr/SSIU75WKHiuzpIihiss6YToaXnQHjJ6tJ9cXWwM6q7TrJNH+NoXkG
jvclcwb3svnKO3H0Y24UItmOxHF/kIGIyL96CTvr4CNfWmkQQtmy0q8rG90AKVx6TFTTejG6C/Um
wGwd/Ku+IDcxfq79zTIjXhtYVJ2L+jD7cYTBA1LQFNdXbE/Rfmm6d79T/tYkmpUYJXE0TYflaiaD
deuOdyboI3RtqONTwKm1sbe94WNi671l0fedPPmSaVCdbexy/tnMy1mb0LdSlF/RUOgddPzOCrlB
ZHdJBtMhTaE/NXXRXGUGFyazxXSa0vRHUuRnIn5bxtUsZRcjGVdDOF8gQeQnEUqboWcV4ICavVUf
MqCS4GQjNFPTbHsvCB64zBRZZlOYHmvZvTeBPW8gN91XpU08aAoFwWyhwTr+KtYFJifNeVTYog2H
DI9eGdcaA8em7Zx8F7Ij3IyFcrj2xvDqZ/CT3JomYWWYhBuZE9PNWqh5N89VemytauSwtJr/4mb+
zWfKoITBx/8qMX5SZYzLNFH/OmH5/QP/mLAEv1kMMNDuarjM73bSPyTGwW/8P3w9JMT/+JM/2Ozm
bzCSicXjHwHH0kT8++eQxfoN3CC3B+pkDyJNAPj4P3CaMrL524zll8DYcwG0B5rvhduRL/VXgbFZ
LMqOVEKUUJCEdJGOsQPr+8OUDIdD5WC74j7dSFO0TDB6nyXBJE9WnDF3qKYcTl/l72U4BWvX5K7n
STe3/jTSVPQz6TV2M26J6jL3xOa+itSFJxwNzyjc2Ewbiw1HomU3CpjhCK4edJMMt3jvmKdIzuNK
9P0lztFAekM4rZZ0EBBkcsazaJ/2BeHaVHITicCWEUJ5w+1vJnp5MUNmL2cfC3ZQDcfYw3MN8YoM
n7oZd35IL1YWJOrBVWjYbgJLUJPxsxwlopNw0EJTxWIgtjFhNUOBPC3+2eZhvEsWog56fcjGztjT
jUbwIIrSuqRN9TlOcHUWihs8UexcInkTVyEiQ6f1VmJxo5vGA9/G6TQcoTnOmMrIlEiCzGG5LH4W
8whazPUvXW13GxnggMLuT4IDqcznpALF0bX2Qdphzp6o+CylAlJadGTQlWN8LoJhZzlYEHz7QxRy
2udZxS60zFBFCvgf5DQnCeHpotkBi8aU7iB8DSbjvZ2W7wYNyLqq5KGIIf2M9MM7ZO2fPoBpeyJ+
b46jYCuQ2AQcK0yME/baKvoivuPHrHg97dBCF5JSalTyzhRkwqReku7QAd3FoNb21jJAwmAIjAeE
/jQ3QVZX8tYcx7cq7/q1rOlY8bRyY6lL1RTec6Ic2hmAuewDjefWwuqrBn6SojWJH7feJpUyfjcp
QpwwVhsExByy4+ACEjMJkgsDUmlegjK4N1CiGmF8U3jilUHURyOh1Xjqwx/dFxFn8cFLWaz4GLER
ogXjQ90g7a681HntptrYNpLbWWThi0V9iZZXvXoM6dlDwjYTpFlvaEmp9bsFBxCL2tkbH8yKffKQ
FQPxL1AJBi54FPgJA4E5prrs3OnsVJLwPgopxAThR2Ymn15Z8rkq5zDmk78qHMXWzRq7lRoLb1un
BFiai7euyUa8DwxB/J/N7Es4DRP6PPtqm7rfW4QGrxpv/KxgIe3y2X4ae/FUJeyRm36ptyO7epd9
04oaHBifi3bXNllqxZXwb40lBLvizk/snXnKcvbEJX5gJAo8mR04FoNtf90DxxnGp9R2NsiSDnEU
oR9tzFe2hOfIduqLFPMupHFJVsEwxtt8NCmudY65F0wviw+BphhD8tQLtuqQcqJVOol7g3CitSAS
3chSkqm6YsQ3WBb3KL5x9eoM9Uqnqbcduequge7tV9T61JG67rTkr/tO4d10OpOdU4PSnVDUtbdk
CP4QEUO10WuW3kckKod9VgQg59yOrPea7EiRIdPqQYLsMp0JH+p0eKdHe8umpqTvZ5maM4vtUNIQ
I80SaSJgPsmIGTdC8yG2/a/Yx8Q9JbQTmAaXN6UT6pGcmRtw6qg7dH69ZVP6Ks/+iNP5pdYZ9yZh
9wGofXiCw7Mju2NROd46MefPcqnugZ9U6/9uRP51I/K7tcfhbvufTUFr+pz6c0r/HQyhP+7PC9sJ
oN4GAHzxkfxL6jKAdIdojtBGIKkv3j88QQYBg44ZcCnDCQZPjtHtTzaEYf0GUhhAHJEqps1//f/o
xob7+y83tuuaeIoJd2ZnA4XU/Zcb257GejKGmIhBpo9q9tmkB3fEaj35WYoYsH8J3cxdizm777EV
R7PHbtIGH5RxBEX6OuD6wCXMSiQziBQtAxrHxTW4iWqeN0eWyfekhKUuvepxJI/CFnO6ZsUHv4tD
iji+ZRPk2ee4GHQpGMD9BjpNOyfzeeolPmKSfM8+yZ/rTp+BfoP5LWD4u5s4IO0uQ9Fis0PWZye2
enMz/zpP9ckKJ+FV1AjEXQ7dWp++bIONLZpe5zXswcqlopoeHBhxK6FP7n5sOcM5zA2hPuYkv484
5G2sCBGHvh8H+1J4T45FCMGvi0FfEUpfFkteKLBfXCA5LluI686bpy8XFp4eIwDvpuHeWeIhZE5o
cBXpS6lT4wXH8n2qryv6pH6dSfU2xvktirh8XXO3FfqSE4Vbnio90MYDceflVbqDJ1MhRMvvgqi/
syvBSb0EGcBMRERp8m3WV2rgEojhccum6G62Kg0nOl/xMVX+p6vGehc5cYYUWR7ihOt6qOzvPvf3
IAh6JiCxOE04QW/qhTUVzQ0K7zF7YTAKGhjwf7DreXWvMPnwTBVEtcInYs2TMZcWA1yhebpHJMQI
L2lA7pBsu+Z9l3Hq82Ly104V9fNzXqkZ2EfD/NYANqQ3+NssJ/iZaWaytW166Vw3G+RAj3e0dpBI
dCti6aYktmhPxK9OBb1EtDJ8P7xOupGJdEvT6ebGWlzSULrwKnODH0e3QE1lhueErqiUJoQB3Shl
Ir6r6ZwiOigPNPNelm8zrdUcRvdNn+y45d0V0kjvJVLjQ0Yv1ummrGwU7VlD45hXsWb1WfmJSTnm
CzCsqW7srI79V0qvN9PzYWibTpluA1vdELaWwkJOi+jlNeuiiYpYvkfMvHHilV8THq5tS3/p0Gcq
3XBmuvXE4/R9/tWM1v1H3Bj7xkcHr9vVrhFPHf0r7CYf1hotbcKexdJNLpgX2l363lw3wHnSXqVu
iRfdHBdGs41Rvfu3MGOataW76Uj31QBn43Wje202XoyAI4EgVHfifpHcB7o3h8V1MGnWAzB8Ic27
6/RHPBJyRfL80aK9d4b+20S7P9D2p7T/FGYoz0k61nMBJJ9MVfzsnOuZgcfwwGCIYPO2RCvOXGFQ
5RUmGwHieHkdI773GUH8KpNthhK5nk4oFzBjDaFxhtQ4aWRjNpX5TRPmzAYw1e0zjXbsx3Q7+mQw
60UichWyKDQIcrBn+zhoOKTKUS7lY43w1O/uysp7QuDcoeCmkmmT2jxkGjRJmOJzV/tAyJAc3rdA
dgqe4zb/gC2DUVASrkxNdCZ6xMdd1NofNtaHPlI/ktF0do7VEJBigjQMyqU9AfgsdlHF4Gcq2jec
7BMiTQyK02Qyt3Sb+NSVfX7xVNOdZWI6AEiIH+wgXu5kUnQXVpLjtuhQarHBPpfw1TYIlaeDaTb3
c1Zeetf8abbRe9tr+VtaiaPwVHa39OVjnkMq9JEIMzIlk7rP3t1SgdAMolffD85i7k4gbrNtWMY0
BGl5siaMCmUTbQdvMKguzfDWX1J+uXMVAKV2X4EENCsku+wg8f+sag9SV+BzmlLss6UTDQY5yh3e
1hNeJdtB9ws5VCSnSIRPM2AFq2lOTW9Ga+giHU1Udi0KJ9RBHMclFDveZ+dlng+Ni4UnEm9BIl58
0z2n0AIGa3HWyVQ+AMeeSAGTzUNmO8C2Rvni2hgCQGC4j0ZQ7aOQDgsl01tb4k7hrjX2LHq/RuVf
ykydwjlPz2HnPY6ta626HjKyRGf2lE4+8OjSbTaeAZPGL0rQJIOJxjOpjXXKJHifVlS0DsQ6ZsL4
HuiRWAH06gUJESYu81hF+c8FKWRTJvaKCLGJJ6dEACWZafrGyGgwfUgGpoqO8eYWmnCceVTDdfKQ
GzFVZUXUCOqptjOLQ+Zb8QXf4c3sNa//Lej+/wUd+pH/raD7bNnS/Hs5pz/qj3LOZ1pCHScY6ISE
6v6V6hv8RhodNPMA4JP3+x/9YwBj/QaG06Oac22LFASSwv85fqHQw9iNvIXJTIBWmtLxP5i+8Gb/
Wy0nBEtZLAJ8a26gpzA6l/qv05du8MpwgajBCBDwAiZwwqiI+Fq7hfqytBR+QhPvaHF8MC7fmsh1
8XaIGiKQ+AaYuN5mFtNFgbqe+M9vCP8Z5o45wnsU+KKjeGsy+9Yc2HuzVUSYH4EDylDuO6pLtz5O
0r2qmmVTqp59ddwgsmkR/SvDz+5FXCX7qOcrFouFv8P0bvi9RAemOGw2OmysNSNqV5sKZhEkwBuY
vo/acgAB9xKP1rSZQXohTMaYUCXJRxkaNgMEYFDavNB0NjaGDoOh0NYGgcfBIDJo18aIEQJtgPBn
YF7aEiGj8tjikYgSQ7EPL8S2SyD3sZ7F8KVNFUHNfiZq7aMp4LmKelg5QX/A22haCDMw+nIIuj8x
5ITY6aDDV68qnQhLNmaWQMsjCWtUyOyptv0pyQ9LGVIUICTe0qXF8dYkCnDASk2ALJpn25ofB1Z/
sPxClhtz/zQE3FKLE9wngGF2mY15Vk5rQlH3clyphnX59LNIjBMK08j4sMSd6YKYWNuPUQIJFIVj
88DHXuy3tqLyHc1tAU686Uu07oMf344zerosSqjz+8AFFjweqINLDEFvCZbbana+wlk7xSQjrq5p
CBiayMXyZbW14i45OmkERMgq39tgfPWceuNn8TckUPGmA+2OzNZ4rArvCPWTYZh6Xxx+IYI3Fkiz
VTRRlKniqvTp5zH9E6L78Hmxw5Hlaq4F8Kd+6VE3Su+bMSB1aBim2KambBjXMUI65dfzRqQWxs4F
XTcOiQ8G+7sgMa5xVmyTVLhw3BmhmEP0rG0Y68GIaBOmJ98unEMwWhszmW5FgqRzCVp2/oNmAYer
Vi3Z0ZxRl/rTMSdmbJtIdYdQDBEocQx9iCsvbXv8J9HMa80+kinPgo97aHOLOCjLWs91RQqdmYEY
LaiX5lCbWuFiE2a+ID5nemYU1oVt4plRe6y1nE9LSsZBirzJC3hOCsd/SwE89ovBiqfDTd5g0BNe
d5ot1M5JS0AWiVOuCfZtKNzbJkm/6lrOR76liqI1XzbMB8I1oOgYgu14jVv0PlsvZtFCKCCysACJ
jJYKza06DjqvrVJmsK2nfh8L68UZxMZvll3KNHPwkKNfY3+HYfhcZVmxCkuYXGZPAaiG6AaljbGq
LTQnl8ph2juOV6UCtDVXL3ZW1vIiO1TCyWWeAb2lgXqaW/Q4MaeEhuMjajsEmF2RmI3eWrVodL3V
7D+HTDA2JLysU2BrFSeMyxByVbBnHObmhBT2kiwUBpTF1KTFyWvEbbew1y6ZXk09g7C0OU+tYjyM
T8i2d0NLpPXSM4by3MOCfNo3wsdoucNJPKGWttyXpQ7Woxw2SEi5+fnr1JJwRKO835FwHaxgO+5Y
pBUrUX20EWaogxHYHybWbOaXdyL1H0MFRnCW010z24+c8bdTZr5mFsWGUmJrFNRg1vDEw/ZkDfW3
CkHfqgzJRPNChy0l9WBvx2fUxDvbmb4NlIuhNluUMP43FoUXKuF9oDdrZYe42N7X7bsS7ilj+W5M
7gXYzx5+FGlyIrv2rnqY0++NA5RI4cWICPZBPOEbt/Ys1/T/Wy+5H+IefKnL0d40zU3WSjwfNbyE
AmeYG3k4h4azFZu3tBLbPhnu+hCQV1rhrS/u8Ds5dXicTfsz7J2HkClB0GWkCBIGXg3lfeTyu4ji
9IaVSLQOrfEePc+d3dunVBj3HZyMalQSwUjwahbm85zFDJdxBhkCr+HcruOI92aUPrTYAYjrSFE3
Jo5J9dUPmzqP9iazS1yuzaWop59aY+K1A2+kiDW49TyK+ici54oVpnpbhmbaeEtzIeVnnRLgwHf0
UMfpxcr6Q9OVmw7NChSF17xmjtmG8VMk3B9R0F3cSedtOM0qksslVM+1ScpiKaOtaSVYzAbxifjv
W2xWH0YyX11SXfF3I+gBCf4ygx5eLRGDQSxI92QNPjIUuqRLOK862i9ofvve9iP2vJjuaCVfIss+
hlb94HdFthIuQi14ecRWfEcDch1keBwSPdvrsHEqF+dszY4jHCBD+Oojp431cXI3jT2iUZRns+/B
ED/NTnb262EDDN4/2mMAWBt1Quqlt1Efr6uhWbtu7q7yCZl6QTjFymzQAFjtvQQsyMVsnkmaQASF
1qWVt6EKbxM08hBvuzfTKx86MSEqh2kZlvch4emTtPZJh0icFE7cR2pcocl8bAOLcAr5MQ05etX6
jo7yRxY1x6SMX7o6vsW0+T0qh0sCymwelmcO2j0Kx9dlru9aR76CqihBZqMdEzhZF3FVaVGsJiGL
tWNlD30Bu62hthb+ugwVY/AqfQTwd1oUXMAgIvRkTmBUTGuEcazZPfNjitRpmCqkYbV3V9rtsdSE
xAVUYrgULxJ0YizVxoX3scqARzvAFXEpbR1NW/TJ+IPv8daCYYxJMbQ0l7GM4AJoUuOsmY2OPREX
mLzIasRD1IMvwU59k2nSow/y0QL9mLH2FqAgExuyFmjIYe4LHLrRbVISA54X9iOLrEvhmVhq7Qua
bShTcCZbgJMW4EmhCZQTKNYOJGU27EtNqGSY9u5j/lkpTa/szJnDAr2MD68PHe9OatJliC8G6Iyz
YS/CgCIXNxNYTH59PKFaMxWUN4MmZyLaZd3gel9Iwvqj0nxNhARQFeSm1S18B4IzAcU5aCZnVpkH
YfvFZgbXWWpuZw7AszMZNGiiJ969agcsjqrDo/VPNPnTk6gvhKaBcvQvyAQghC6sBtISyTRn3QUA
Zg6rkafF0WRRXzNGe00brcfhpxEXIZhqSKQxSNIltXmxgJSmmlbagy3NNb+01CTTFtM31SxF44wb
1b/1pvQsQZ8aAQxUoWmoCiyq4cBH7aVrrTHR8BIPQ7F3B0bwNa65jaPZqiAHyjO5Dtxkmrw6gGBl
+xhRiCqggxoFMmhSq0iyZxt0K6XAWyRK4CfiywLtCi5n2Zce/rUa7Gus+a8BINjGwV5iLwFvbRix
EGEvputBjdX82HH0gWsoA1SEO9xQecW/Rz/9l+n1D+Tz8fv//T//GN/Dvvqfx/eXz/pvOeh/fsyf
vR6GA1q8kBH9Pxq6P3ftjNHNQEBwdj33F+75nzgvGF/s5/kHYyKeec/6C8+L0T2NGaN7AgDxEtue
+E/aPYuP+1u/92vbzkLfo7n0QZrw77/3e3brLvHUd/Nm7mtA4Ok1ht9pBs1PJDoaGKJ4X0Z3Q0pZ
Qz7vnmn+N1w0DfMi3sDlnD3YkkugTTub9WTU7W0zf3UddMZ2Wu9rQ7LoNrZZp6ABdAPa156bLQE/
wJE2ndIYIMmQ4mqI4+4w94yB88Y8Mabs9l7i6JIHAINDZ5B42ckGlAdxQLAeD7zxkef4BqnADrXo
BAkooLwsnxKyTMwhPiwTdYAcSrFLAAsDN12aw5gVeKVtAoK7AeJrNVNKpvVjXTZgqccWiSDyt73f
Dc+sFMAQIlgnvIbpDXkkSZTtrSy7KNeAVuGWYHxAJ6Gwz+Nw2EqisdOA8hwh1DVYxva29Wnu0gQz
ZO3ay+ci8TU4dMPsLkJ+LykywCgG+BlER3y3/rrtYzCr+ZjjTXOzlTcSbFfh6Nwljk8HmRVQsqKZ
YXxKozq4Gw7klyUyy6fQ74mRrcaDUVcfaQoRuqnKA1tE/Meq9uj18m9MLr+GwTpnTK4UQEYyt0yu
tYa7XA54wGIwqyTQp551tVwB6xTUBETWR2tAZtQb2n1C9AVdzZh7exU5fGWdnxL03Sboiju7CY8N
RfVkAkKpzfc2qyGHtsYqb/EM5PRdIm1voXNQsLTqSqjSQ8mZDOKmLLd9TFxCP8/Gyl7iiMKcPbSL
LnVt5RJl75x81hMvuzcs6GbRsOe99xGHxdGvALJ5kcaOnRfs2uu2wmjdzP73KSlf8z68YP26VhT7
+zRsvQ3kXmSleUjPbJrYL5l+7hYvKa5TkK9Hqjir7H7QKJG3A1zNNAT6UwAShSQijY0sPX7+XLvO
Xe9YDNXmeVtSwWaR/Yqs/6MM/DduBnz50nm3csQeBnCM3jf3PYoKkHjIEnLJQBx2xs9MplfDRjwc
eeHeNMJvlYtANk72qu+3bTudCwHzwYGskRvG7eiOe9nJ+ywzgGLaeIWYeddYONcOqlRcNuFr3GYv
fTnfxuYwrdy2vXOL+dyGtdpZFW/UxT6hJTihD3jsJuCcHZb+UJKnU6s7HPGbLG1+NC4mx6o7mGlN
IFN7sYr5ELb5fkyrdWUZ516ED21hbLsiR0iNYnB0F+O0pMaj6833VWA2VH2szmxgPBvmOi7EWkNe
iI6Dr1OfKtpj4mvltpceRWWwy9Nqa4phJEak2MZmviliInuj8qeZFRcjNt6nKNzEvvvl+ePOEfhz
bahnkoGK6yF6RTH/2XtlAIUdFBA7I+MdYjtaXRZWl0iQsMRDmK5lFdZgg5mdBpEsN7Ip3uRYv6u5
eDRmZkBTgr0exO6yGsOUZZ6X3QFGvVII39ZTQEwC3RceMSCtOCc/zbrIdozvsmNpGltnDJ/jOpdH
VQoLObrLlFuK98xm+mVU0Lx8Zj2rYZpoPB0/Oaa1RLIBFQek37BsTM855FEybJLMeKj4aHBpdbPt
O0xGo4x0Lg3mikgm3neMs8OmENMbgyZG8hjFLUEwIMgyY5bfxODfllKe+xJTicln3BnVsvPS9BMM
xq1dp8/xLH8SfMTcmULVGOsvqwneZemhrA8R6nb5HtD2sRmcgz32RIsW6gYC1ETuVHY7JJJXbql/
poWFCpolRGFlqCSz5Wtc1Evejbeqsa/oCH4M1vioPOOaAs33wuVsloKSmOFekz+SUP7UlWpTpoiH
FeBlUXQZewcEiWV/XfhG634+dCThbWOVXZIQ9FCf+PuliL4vjvwMJ/FW0i3aTrashpjqdDKcx9aK
b1QELqlpxm/xZJFiwmFDr+8+L0P6gzMUxoN4sWPvxS2Cj7kyT3bjXD3V06crCEa27G44zy/OzIBu
9ihJk4wxUlhG1gpA9W6hw2grRvxpKpudm9KIWH0ZbdIwOwrpM4lKO2cdtNP3VjjD3f9j78ySI0ey
JbuV2gBSYJjM8OvzQKdzCk4/EAbJwDwDhmFPvYreWB9kv+rMrNddIvld/VMSEhXJCNLdDdf0qh6t
+ypbZ7mBeRgGVwACvaySB9vC1OsMP9zET9cwcloACMnBi8KvegnSmAG0F1s1/pogL3cnJd68EuyN
L5MbumdvIfqcptq81UbNP6r1P3UMG6lLrkLZPBbB9gJNdhtsH6UT7ecWqdD06SHw0YTgCRGvngh0
8ygUGWZm9dglDbeb2LC2DqQ3xv35e4CyVrpVA1RH4Ict3C31D58NkE/+wnJYFVxu2rCLP/seTvjc
kVMbyONtDI9eyXbAw0uk4qdRtdAw0wRjtKzVLRz0ZJ92quHMIxdIdAn0XadRa4sCH7FRm9uh5IrM
EG7eeuRtDljLutU0RcgvYNUtM2gOuSPIv6fwkBUGJJ7EDgu9jkQvq+xDFIq3UTv5fRPVX1nmbyM6
wfNR7EujuXOmatpPoXkH/AwoWmOMlLEowW4ftFfgdN0GiifhprQwz1NpuHjagveoci9B2TNp9OlP
hwQoMLkE5cfxo+WqFh1MWf3ANXyscitC0Ybazb3LIScpDmYQXwWhYoQjg5qeqSYZHvE6h7ilVMVP
soZnI4hU29QQgArizcGtc0NXA9KoJb5gpE9r06RJV/AD2ouFsk0s6z0J9Y2vNKUXgsfggI+x8Qhb
aTcGzNfE+lINmb318oEfopXvehpFIXVA2clnWiRscPyROo0pz0ZjNulHL77mPHvMAwzfiRIGfvOa
IgNn/EAKfJILeoUfB/YBRL4Vd4fvpnbxAUzqvqmWSJOjT4lbVgCMQe3ZoXtrBuauqMp9MYB5QKb1
+W7kPg1CvPmOeWgT/lyT5OKozfrLIJRBtdZFJMFd1je7vq/OWtc8S/tuVY3OXUzGJp6yN1xTNA0Z
IR7B9iHjDpebwy+zm5N9nnu7ufSfZ1O+ywgGRG6rR3sBDgbgNl1USXpIr13jbCsTwgrh1DWpB8wR
Kin3YSf9U4DRbh/p7IfO61vHS75LmwIkajlvgRF4B0Q/smNh1wEWGcCZmoLnYl+a+a0f2BDcIJEY
HUQSyCQFhJKS9RwfdecULPAS2JlfKTSTOmupJmDVOZCdsBfgiStmjq5Fl+tnlKkZPtMx8s2fZlqe
TIgpVmHeigWh4s+i2LEGRn7sFWi3mHAfxJWsMt5HCCzUGZA6W6AsFXSWaYxeqwXXMizglrAG4UK1
FU17DoqbyxAKWCJ8inTXnewF/lLNHinc9MtPBSQflQKh9F+mBRgT2khJEGTSJP/uSvPDHJgjZAdi
BtZMVXU/+EeENLqMNM5BWl0RKWOfDaPGGbS3biqZ7WqiiQQ+5h8GrQ7pgrYpSNnwj83u9YK9EQ0A
HERSglELFMfAargSCyhHoSveTQs8B9oqGJ0c0R0gLfUeC2QnKKgTC0fAO5YGwdMTgFuNqqYybvJv
qwXU46SZ2PDcyQG8EI5rLRPCG2CfNvV/pNX8mS3In3ixJtgWPNpoAQJpDEsMmqnHjaM8WAs2yAxy
OgDIRA4LUihy22uXzi7IGXBDqIbswBYEUdkNn/UCJcqhE8kKTNFsuMFqTCAXEVBdtYYVr+kPp54q
LUgSdgzy+GB4ivbgFIicMpGzjFWHoeNxYWPt2ExVP7xP/BAIluDe7djKIY6U5O6Cy9BDpY2cI+2W
2COW9HAmelLco3hITJLFcWWVG3NCs2+W3DEvBCbKrGvWzhBdh6q9Dh0p5XgKP7Mlt+x2+bUX7J+n
JdNcLenmCATZpkbp4MdtYAskAx2TWFz1Frno1A96PrKpf3QITSfYWUgsAOWg7oy875Ktpr4Tc4RJ
1k9XZrMdlwy2lUkHc5JxzYlnY368waxTwpAkuW0s6XK1pLmJNYoN+7blE8HcIVh70smoo62I6PZi
NZdiYOIJU4cNHOKwetdLcrz2ggjMC2ny2OxekyVf7hj9gvoic474BTVqyaFnSyB9SaYnip16QFhd
qumpW9Lrbu2rzRQ1P+owgy4NeH8LO4LXuWd4qH2xSFmxsY0IxTsem8sGI0GmaG/ol+Q816Cl/Y+v
bLKCgETBZdP1Ov8ks4jYfdNbcEtrmjimJZVvOs0Xoy2qN+SexKWPJVoy/M44Mv5kQ3zvRwPX49nH
CJ0DvOBsr9ZG2T1ZCiJA1cTM+22vqCfjfU2gjK2UawVo19AEPDcKr02fOufMzXIKCRZKFEs4Mqq8
3YiyPrsZuXLQxk+Tz61OLJYoZzFHJYtNSi2GqYwxB2IBLWIk6gHs+Hb6Hiw2K2qn0k1O+QfsrQK/
9mLHamd9Vy4GrTlZeuzqL89/yhf7lqptC4XXtO/bgL1nXmPzYi2EbUw5DbNX/NwvHjCmxQrIBr4w
3mjZqV+8YrgSuLgnJViwxQhuLpZwYKCYwys+qfmy8kp/944TGB+xLLE4wVee4S+niDA8S3hGm6Qi
RxMsLnRvzi7TYkyn+OybfU92NksT6c2yaG+OCSXGvntLWtbbSTzuPmWZsN5GTmOlp+0s0+HoFRgQ
mwGIrTBhCzs6wiaOd75YTPQTbnpHwXqO8NcXgAh4+mXWwWBu/vg96xQuhnwNlmfn4dGXi1k/Xmz7
TgTZx1+s/Dz4FRFT41e72PzbxfCfL9Z/7/cQgEiIA2hiByUN1wZAqZV2IuicRH90Otwj1742nfMd
O4p4eMb82Zlv/cDJOuU2RqKFgYgJxNMKnFu9L+TN//d5/DefB7R86fKM/3fS311T6rj4jD+WUuel
5fnjH9vsu/hL8kb88YX+Sw9UJjYOlD2TyZG3tcRa8V9yoBK/gS/hdyWkEhfH7p+cvOI37B1Y/rEA
O9IB9gVm5Z98E+s3lj/ke3y+mIcJFzfJ3zB/YNv9FzGQL4+NxBbSky7/4y3//5/wJqGqS7az+NRT
r2SW/l2faV6L+QzmcYUsnnZ4F3BcJkN6Tezxpa+q76ailaRgfUAOhNPGm7KV5SVLJw4TpBGXZ43L
fWehgrHstYgr2yY5hDShhqvhrl9lE1If5gk7iX8l/nwaJ1Jwo3E1M/9YKumvfZvhUI6SmqvBPzvN
R+770T4aynoT5XF+GFP23AVGuzU+PQFe0n3iyvud2WF4QBmA2WXXjCPqLaT+iX7b89Bi+AextgYA
ujF5CMfJzMoh2irc12uaBIjQI58lEtXLyHlWChUVeyvLn6SusSDwTFD0agbdlq/MvavfSlAgZNsZ
bsnPs0W4i4v2yP4Coobnfg6m9xCTnCdU4v/AJXkzTvElMueHjq7hKZ/T9UjXPAbDT5wvt214dP19
FU47iJ83UYpjJpTR2ragu1XZobPGraiq/Wzr58w2PoR3STCNSPeaY4MzrJukY7PPE4YG1sq/zqB6
t2Ewxtuw05L80VztUKtZfieTtY29mqOnghLX6/gWsazfdtoj0isrFkZ0PCS1c6vxldIidl94/Ypp
ucviJyehhajw/K0js0c7ShisRvjqk0EFMEwYMpdovduCNA7ZZkY9akkiTHkhu1o5Aq6J6gcdJBcs
zqSo673rDgCQhzNZL4Ymh8wP5oOuf6tG8xJKi/Av4ZgNYAZiCVGCa6/NLiitJ18vrWhtne371Lyl
t+KNyNgdspGxNWzvo+gLlobLuq7wfumg/1mm+ldG7QLNFWdbxBc7f8p98zA5OIAn/9QQchJZva8z
OsS9JX27sZ3oxM2MfWdb76Pq4EPFCWOi8OXLFBjlAaXmCSLEaajzHCpESICajXmSivuRoK8lydLU
4R0e/LNHFVv4nSPSSMzmFMY69Xs8YZE3kmORi59z6uurqKCXKo9FVfJQjK6Le4ahPTNKXr6ZgJsV
WA3vWusYtdq/GOY6StPHzkPgGmo/vXZ5xtRP2GlVQdHnPR7N1XuRaqzdZfmjhgw3do7YaOmeAmbW
HTVi1CgOxt6bSj5nfsTPYjDfc4fFKdycYD+IMDzPutkVebUddUSZlf+AGqrqYyUcNoIUcFHk2jjj
IZaTxPnrHdgJsxwgKA6EPhqwtvKTc2b/FavmQTjBdShDhAirvu30fK9d70OPPQbw+oJh4tgMnkma
y3tnzXjN5bzpqgT+yvSzrsZDpryrF9VoI4P94Mp019l6AwQOuMlw7iwY2UgXSIA4T9SJ2NgmZLbi
OFnTl7yyGnU/SMky7b6d6zMazM5Iu5supsWsNkgrWD8zlJU5sLfl5L6JxL6SGIAWEbLrmKtDzzVI
FWKvefXaijuv8cLtlzAUKpx1lU7y5U00YoXtTQJHX+rXKRLxirfFm4rwiFrll0dTc02mCFmYQI7N
nNuU+LXG+IdSvbFnLci0Kr1TMDFKkiewAd5O/oitaeaCpx1VrczB3Ki89l2OgAG6meE208G0824z
O7m9axGAgeabn2xp2WhWeDJcDxeVJd3vxBvApNZ6hkFAHbsFr7hlUF7LYOYDyHuvaAVfECHqvem1
XcCoDWxwhWZHb2OgDOa75inxg+9+dOmL9uNdriBsjGPX76JuLvaM1f7GY7yjRmq6IGugrw1qfhqj
9BP5+OIQZbeAbLRlQ6cVOg5/b0igngTIPO7c3LcBNqVvdtfciSIceDvmxaFM9DuD20ZMHUv6m8k5
9QGjctZtnLmhS3OwvvyiuUISPXRlsCCE3KU9gja7GN4f9Gt/4MPdTfLRyMofocXqI4vfdT/itzbi
2Lo3A/uKX52cATpCuETSH8u+f/ZHJBS1LIhpB8N2bkMfwpyF5ZwHyKtpggVYO81wEwIXegn7+BDR
ZXysbOLj4FwUcA2Ix20+nzAG9Q/+yF6Wg3WtG/A4vrZum862kBbi1km3vAO6bvf3J7X/nP5dm3Hp
/72nvftou4/5r7OZKUwJAe0PW677GxgXIkzO/85YWX/MZpLEtDKJSrlsR/+6qiVIZZoOpzcDmKVs
2pD4in/MZp5JTdKyyfUoc/LE35rNbP74P6o/CniXRa1vOeDtHMVfJpkV/zqbESk2wnpkUevZfWav
PR/vOeXV9Dp4zi7rRDC+pfZMQcBqYPMsaGeps0RLOjCH0V8lmPhPyL40F4wG119Exq1w22glY4xk
hEo8fjmDcuqU+KhiW51NLfTaKhdyjzKLfSjM6QyEzt7VI1KB38TRXlrKeqKcgFRBZlu7SabqZbRJ
546BR+DT7swbHxDBbg7t/pDaNIxhcP2wRujnEprFnk5M/m6Bda5MAa0/xCSRJmN6VJVFL2B15xAP
2Dl5dTN62fQ2FnN0TGx4xiBaumNIMGhvDb7amumg7226La7A5Oo9SY6YLrkYHlExpz8tO3O3gNaG
J8gS6D4+JSkTybynEBYrFJpEn8BoCK5OoE5CgUobNB5tw9A4bnIIDUD9WJZKBoobBXJm06HPkTsz
fcolrOAyGSPEUyoZiKvn/YccwvYEcbcnMTRycpaFe8XFj8QwdumtSJJuU0dTdOvXBRUyDitmS5vB
i1dPFZApOT8Gyum51vbgwvWgb6GdIT6JYiZ/jAJVVICE3KZ0DyMCKD6xSMZ0UbTpkWh0s+3GUe1G
H0k5nfxfRaPTiwnHf18kvhkD7DQY8jJj3BlzOVwEzQxr1cn+lE+F85gGFVNmnjvIqwNFv2NlndsM
nSKamu48+gtE1QBqRyWq3FmtnK/UH4mLmZoO64Ohf2eYDF7qwvQJEkcFOdlmCJ9YeIWHpAxRYP28
Cn+UUSm4TWfz+BGNIA3nNLHP1uy1ODrNxr1A1LbZOLmsSJJK+O9JX1qMM7myli6d0N0VvOm+7UE3
GwcS+kNe4lNjlRiy/ZlSigH0QPSCMJ6Fbc8YXqe6j2/wr9PvUmLtPBXoH8R651C8V1NFujq2W9JK
hllUODPZDvtUSDHE+uGrYQB9Aogd0W/ZzT9Se7ABrJcRNZfQnkXIupO/q9jGjT/yFMMtyM5qJk+8
7MV9VWaKmsMdBjUhg5yFs57yjYgM3kwe8RV8D5m2zogUBPMMNZyVQVraMUKWU14HqK5Py/jeo/yF
8Bvdqyt3sSHUTjKN63CKtukAjkgPJJfMLq6vJFqGHepNjqG6sFdcd+DM4ovQpdg1GCUCXHWPg8Bz
MVMqe5rY8CzA/6g+9qmXAlT2rXOBmLEdeViGq5qlTUygsPzFcL9x/fA+bQvyzjbReoMmk41iZc4S
GHEiBLiwEkubWmjmFIuAaSiPhuXzpSNVlT+LGiMJKxT6xrCYXMsMk8XKmdKxB4nkluUl78rxHVav
/i6ko499Y8DPpWYg1Kuwl/a1pf82XsFszCgJbYII4WxuiXEmFb+EP78vg7HH9G1ptJPim8UFY6wS
iOAZGzdjKNCwlU8LmeXsgrDNv3XHcjkJJ/N+sFgHbSKnBX1AV8d47vMEbXjK+foJxodLldGjpcAp
bvva85+bhVWmrX6yV7Em4LUedAqHoRG5fcPqvH7Bc2suJriCaD8lKjukTAzerTsnGGwq9uWrxHBJ
QjZ1nFESpQk5+O7UED1PKgamCCLBO1cNGdL5YFXrCqvCA9qfXMcGEUD4tnkJoCtnGlKpK64NV+iM
DskqvDGR2dmWx+MVwHt0qzIzQQVNg/FR4b7Z5HFVAmtm/5a3g/6EkBV+V4lIdjFwI/TbZtSETBvu
Zik9x39/GLnE/wklkPa/JbS8f+Rl8/EPLORwcOPq+78HhZb//p/mMfUbz3jPcRF8/kUtgoWLzcCF
t+JLBgyy3H/kvu3fbEegA1Fkg7sMNYck+T8nEheRyfUtDGnMJQ4GMvV31KLfbWh/mUgc11GMPMLm
4+Oxxmb4+bNaBA6+luBPISsUMAhapy4JtkQ/PRAjeI/cl7CKq2sPI5PwXMIp5F7MeraJA5W/yCsT
4aS/FavkmO8ZwKp9Nxn5nobYh7psrjOMCpCoNJs5k6pYd3gaySO9guynUz0Ljjorv92hfLKmBrFZ
Vu61LRFBHSqjjrYtzbUWoBPDpIIIm1RUwywXNzDipOJa+ytKxJdfKXbYnMSbwgLYZBLMXAkKTVCz
LOMSTDySRvYWtKLymBgboIWuY0PZ05gagBzam7Ec9dZhwKHkZsLB2jM30ewj4VHWLff0xkq22Ct4
iOAVWBF+Kqlur+HEUzvn3TolSnM0Di/OXG655nOJIQBt6LlHdV6Y5iJ5wjjyy7FpPBrTLwy1FGXo
wl7XRL63hcqf47l2sIByqmCom24SPw9WKpTDofHVEyc+EPnShdg9V0BuAXUvnN2N20UfdcN/4/Xq
qeipZshMK9rHLU4pNunYZQ0CGpjQPrJBBWsvDIllx04IQwJ1Jg7Kk0hDRo0oVlths+4P++FXLGLA
Xm15ECGpgN6vRsoBPao6tV0hZ0l5UJKxqYxTDnXHfK37Pj30XfrhcT9CQ0g/0tT+ycv2wzTGr86K
o5tWAjGrAjM9wLW9eOB39m1FdXJgrxo3j3Z+FMqNTEznnpjNuxuYX7lobUS2LnnPMjY7RsKGj3eX
PBHKwZUMS/3NKEsSVGXPy1G58YG6FfMmN1/R4veOIV9kEsfMLTURc2NxKzPprgdqCrEhF7cqEvdG
17yZJQqoqOWj2ep5NUVyvkjDG3+NhvvomNYujXK82cNj1i0rY5UeG7JfK8vn21HmjC2sGtujDMgs
lTN5Ih+un9Wa7zR3E6WgKB4EDogCuU5rW11o+D5Fgfc55kF8Y6mRSsamQBIK8BUlFGdCI/HVPpkT
/1KpDO7NEAQnUjjFijL2aDNH2bfXYkjzTCqI0ZAhuQxYOni635dDFe6KkcYur5GHlDTFGrASnoch
vKOh76unDng/KTbp+Ux1WTgBlkxoQFvJriMNQsaYrbJIUDlwso6rwSsXPLT9Qv/kZeyGp9nJ5lUb
JwTTNHLqnKbWrjDne6NiqMzj8Ni0LZYJmdJnF6X+Da/Xtq+KG6uPn6lXwz8wuscgLBlzqTH3Us16
KJw2WdY+0nNrHzq3fmhGjztQrq+ct3CVUOwQiVY4r9nWddYF8LtYmKOQWyICaQ6UA5wuXF9iXwsa
MwdxrIci43KDE8rvayiPUFZW2s8hslbS2FVhNG1ql5h2gSi2mkK8mezO39m/O9uIcQ/9pDmPQ/dJ
0cA9qyEk0bF8Zel71bJ/Iz7/q2+IQtAL+dozFR8nyyg2cU4uyY/EdJ1CQD5dMYPiS56HOAPOM824
63CM0EYuKTKsJPsx5sxdNE300RmIfh3ki60xT6+zAUeKnoWHXJeAgtteIqPStjsSIbEWXKtwF2+b
6bFxT5zXhOSSORQReWCIUyKdnpnF9MYJkrdRGrAs55T3SXJTtnm4DVSf76o+p8K6NtTLMGe8WahK
walHqqDoJ17RPvyRjgEWjKj19oEezzFnyqUBhfgo5gqTZZMxpqvixVxW4SIl+pZ5C2hr8PJunwDA
BQaAX0lW/s4ke3323Rwqx5gQMZhJQFX9Dx3WZC84xtYDBqhdWMh+0yYk5/LMo5k76NXZoFNig1Ee
NkT+K0ibfmWn7lcFFHLbakkcuvRyBFEMtZaRfXJ35NgY7V9ZRqX6NOEgQfP04QTg2Wpb1rWFdyI4
kR3DnAYZIcdoXfb0bhfSY/6EBU07fPMhENZwJjOdwx96bcPxtQtZKyY6au9pD9nSpQvvyrVeSji0
u467VOk0/VoONt2k3ZSdnBK+yUTJTpRgb6itfjzgS9DbooIrUAD6XIEwCB59zXrALEdrk1BxxLa/
S9YsJp/oBoZcHqAkqiF7BNbxGSUFXVMTPYhhQw9ZMIpHudDBo9blut/QUafnG5OA0JnE3HcyOVRb
+TrZswLgIkOU5wK78D1jN/zcQzTcO01FMrVQ9PVOVMm0rStO2GCG3aCpVXXyO2611ySDj2iqU5OH
OA5CvqWqm76MBIdoPwHagHl03/XBu4WRihxxKxB3ia0GXhbtBq4ab6lpHfmF2gGkfpvw6IDf8vFI
NGOzF077MyizN7uo7my7JAHjJsBfRhWsauHcAErco2hISL/mvOODFD9hmhix+1IdElRCHdNhprSi
SsJjnDGsFzD1j0Ca4E1pN7prJ8rygtwfNwGj/4cd45zqy/hXP3t3CD7DCZUPjCa06R3+/YZoG73E
/bB0cfIsFXgT6QCLf3ZL4ebkxvHeIgN2i0EwPwQWFzaOpkM18kJWE1HIxgLzMAtrYzTed2rb8VUj
iKz5WE2wwI15b1p9uHPC8iUwAFgVOCzb2Vhcbi6eIFo3KPHjSoZZHmHSRT+1iuC5N7tHI2nwyPsY
e7wk/wm0XRG5KTjyGiCRwcqNJI6Cxj0AtDC3TR+UpDkbQjQSbqzS+bBrsdfmzVvbv1az2lsROzpH
n9PXVn9b8rO7T5Ns62RsUbJrDgRjY0v3Rfkz/OTwvSoEZ6vnnuMmDTeOETAFjMG5xgIjBzRXfYgG
70YjNG0rjN2mq2gmikOMwJGD1BTeCQJUBEGPnBt18xJy3BQeLwsLpu6UAx6eoIOlVX3XDtkH5kJk
6aR4tO26ucNk+BlwmKZyYnHUHgW4WuxEef0QTe4pE5DD8LEfMys62BKasI5n/BHJg3BDWhdm/4ki
hoiLT5Fuo2K4673KWdvJhHGSndhkYPIrw4cOkAc5nAcg5ghvFqiWsaUVgMvZIaDlAEqWQF7Pg2Pg
etyX2fqvRASW1lSsuTAabDJ3bm+9eCoWmA2VNc14/PuXq/8gpfffdozwZPrHw//8H2X7f7lZ8R/+
82bl/2YCs3SVxd7j9zaR/7OH52bFjpfftxBzcXb/+WZl/ubye0vyxhEu5U142/64Wlm/CXhbCMie
45sOO/y/RdQSXJ7+Re2lZsSysEGZfC2JxMw17s93q6RwZFoGjPdj9sOP7Ba9V0e7wFEg/DqC6g21
sTRUGrGpd3WOcheVjUEYzz4hTVLjmgflUWjTORv8lvaXzSbbFQrnirMXdS/CY0OHnQ5zC3cFshPl
SUlK4OK+vXPnbngrwoy7BCGLLa6o/ZS5rJhVisGxz+a3YEybn3Gg4ZTjXHouBsY7MRsXwLLDdggb
GvjK7qSoNoXbh9+2KRcbT5Y9YDv1t/XQPVUzhOalwNgET5LYxUsNZTIgu2+q3OG4Ut/amjXRU9xJ
2atlnbRkNmKFiGcyecDcOO3cPqYP1DnVNRu/XPQZUrYA/tz295RJzSs/FzcmuhpaX0fWFdsTG6ju
pNvJPnkW2Z/aRJOCDtBeUMzIxi8NIE7ZzIC78xS6hUx/xaXPcj8t8LvOFsBi03uHFnjTBYRflczu
W48kc6YwQcrqm+LXauvZyTfZ/XRNWPY6WngQbdyAFDgDw+ff6/U/iYOTYiIJv5kspuSSFqNdPDn0
NIzh8qMSHoEHfKX5yNq9neh3TWzwnSjAPh4kjO9cw3TQlLvI1T9H6GRMK01PXVn62CfVrT1O5poo
MNjCuWAwjJ9lrxe57hKOxPBV2jFO5XRB67nYISUQ+U1vVJTuwZBe+qz+xosFE9XxHoGO0rtihPNB
JsUPnlPB22Q1F5niMCuXkGGHb/ZEVx0gQi2XxzXnOmgujH4t13wMyPLYNCFOkDBIdwO47b1lWcF9
XfLYRRDDe4622ndqPkoyXLu5px+C1htsCfAlzK6464VzrEY9rbPaJnDul68mXdSrMo+ubkTEbBjC
x9LXN73tbVmPUwnoMgAXXG9a8QKwO9u4g/Mgh8neS0j8ePuv9FF9RDMsUl5td+e08Rlhje/XyJ7r
ovzUhuFt3NwT+5DIyBYEFU9nx3oane5omUNwztuk2k584FY4PHcJbgHPrNxHTHnRzoIclDHGHscF
JpQvWCHelg+DADRU9/KX4uNotvLZbtVrA5HIDuZDCaGoSOWuh1iUa9/fljCMynZqoUTi5zAXvlEc
HPso/GHDPTIS+7UzPEIHwcS/HjRS4fbUUlaE5hWuy5VwNN3HMTfBNqHapemo4A1d8WIKQ3IOVASt
FwzTsACZ9DAE3Amhglg17yKoTaxxwDexvIBDdqZv4ZVCLfNQRzJ9Ewv0KQs8BGJKuEbqhREpuL7R
YlMvqChThu897CgvKG+FWd+FTjMeEttEXaFEIGsBTpkSQhc+j/a2W3BUXI6wqjg2YzB3nrPSdgba
Yg5PIkNGdsex5IaFO8ifu1djAV5NbUIliJIN7gUDti2W3LNfSnvnWuM3xsErhTHWO52gctOw350W
sFawILZoW38kYZbskTYqMndet8f/N55dGzSpUXvPIqdZmobQ7eAXzq6P3aNDHuLgJcmBUfgrmUi/
Az7c0xLzKc3cOqhc3hHiA8OEBeXSe+KFMhyuADbnTmONvAySW2UGQSYvP9u+tY+WgakR4sWXbpp3
R02wtvtLmkACLgzmQPYzxLuotFg7Phm0uAHa6ef4ABKsjPtstl7LLrpr+E5AdXi/ZEFcb7GjJuo5
nd61q27BfJHm0cZzW4dia8c+oCz70UV/CBiT1nEakBUij23Tlbwa/IQeDyEgkuc51+GIWxaFOQze
Qa02lY6mvTlo6mWVuHdM8v602TBGOlFwmrLsqKKo389iWjeAfPdqTNNtb8+fbIVgqA0YvJmtbgOy
2WqgV7imUaLs3AUJd0bzm7dF4W15BBMty2sOCjOeyFVmX61PCXtVvKRNTZ1tD7pFit2YOHtHHa3U
pM5k7jZokveJmLc+B741DNeiEGc76jki0Kp86+SPSCjN/UghHg6Gq5vTxWfzgpjA4YgKdca3HIlh
E5JwkgOWu23Ex8F097Is9p5bPQakDFbcq061Pdx2TMkUInYHTJkMykh5VZud3Wh6FsVymutHzt8F
td9RQwtEdbqdKuMxKyrqbKzbCcYfMybUB9oDu3oJ3m9mgnt5g729bHYErIBKzv66sChZKhyyE3x8
SdOD+LHoKHWd+lX5zReewBvO+GdzYQANn8RkbihUYc9r8Nlh9H2hqZMdl3sJtcJe1DQfsTEccZjc
CGe8KgV8uutGLP7hQBonHvctCLiaFBbde3rDaYrbuqouoP0Pyu3ORVfiVp9scvxc0Ft7G2nFRkiK
27pi5EYb2Vhz+4Rp4VT5rN3SePzJauMqBAqVqD6BnRmIVxN29S5+M2aD8r2s/wElO3CqGExKeGuF
EDMc20XvbLIHtK1PNlynPp3brefMb3j2H7ppfMmz77ZcSDzJ/NTGy123Jj0s2p5rZJfdaC97c31i
IvyJEo2uUeseTCWfDdLyaFXpxwQpt5I1j5sBVTLzfsY26IwsCi/jQOc2axt35ZeaO1m4k2EIaLr2
v4ZMf7smBkSDJ5urp0W6pWTHST3jaIP62Hr+UpbtiRvfVVghg08xUk/TFdazlxvOscsLei8wj+zd
QB1zInibWbFtS9utxJ83JNek++RK60H3rYks+OekgRO3Y1XMpvd+xHVP5oZv49ZzsOLDXc6LvW1J
glCbovplJrckEt1mV8mTNZ8Lw95X0rpFRztCId8UoXsaC87ke5otmmaPlkwfQbYtrYofuat3pJDh
8SOtGsAxuI3ht3aeyBCkxs43UzSUZkUw2ZpstDDOiV0HkrzodzaFWXQ30dII8Cr8dGy4QjS8pugn
7BoIHxinsLkQkSbtuvVq3E3Pngx/VRHpLos+IvsQZ++1es/bTeOXoLp4//vlz9TKL+AkKDuor0Fs
09BKCXsrFlixfU3Y3TZ1CUSz3JdzfBsamGo6tak13WHtI7BwJPlTXtZMjOx30QJ46llrskJnKe39
ENUbe6LOt1ebZlGuuJj19kBwGYMioVTq4LpuJrsZrAa0SQW9HMPA1omrjfcT2tKN686nSbuXbhp2
rpfuJq63tf1Lzc5JT4yCLZa0U8P9WpW08ySIi/+LvTPLkRvLsu1UEvlPgZc9H5AFlPXmZt53Cv0Q
3ol933M2NYD38caQE6t1zSWlu0shRZTXRzxUeQEFZEii0Wkk77nn7L22rSrXSq7sR/UMBgwZljNL
uy/UU7otM/0mEekpSVKLpi5uS1ufK5a/VpvqWEMQEegY0BuqFC/L1mrcrKH9XdhOcWJOCsP98ZMf
wYfKUfYXLBe+NWBQaM7ckgxOJ1l31llcuDtm2yDnSeZQA2IE23KTafWGmE/6pK4166v4KKiDqyQO
9h352dgDwUW4zc6xIGXE1Tqr7CXgJ9w26DVG3K6FHSJZT9NwAY78oTFkCo53TtLiU0abuTYvgo8V
uPupBNvUO/jAjHUdovuqpn3kXFH2YfrfTtFHLbwuMv0koiyp+pkb0BtDYb1lzrlJ/OJoSOxNGMA7
09Ol0669GE4/FujI/Mgsfqnaw8JpqO4QrML64AGHkwnU9mIa0XcWQGeKnDY90j/oGFXfSnsYr5qj
slpiJ5kH4E2KpgftFkdzgZ+od+Dhqs5uqO09lRpwcpXbqkLKmGW3Da/H3izppok99PWjwSl+c5z8
Ewo3SgVaRyRhry0b97Zl2seJZWDBEpdMQXQ8E0pw0viEseoXSVRvS+Fvigm4TjGekBu10Af81El6
VpU4ueIQ4LE2r3Tr2PXJeAR/oNWoGasQBxEZYGgTVUx+PIJDUx6lzLPUEtGHQQmfF5dtEK6Z/TzV
dnebTPaNAxpGaMFZXzRLOcUqODBWKz/5mGXJBuEa0XxJsugC7ykcvUUisQh98omY4BVu9UuN6JZ5
TtNY0ZJFP4CnDQtkav7KsS4yddu39UYym4DGbGEQ7YWXnE69hi0dfjNSl/Uo2Fe5ZEplBcGNsOjw
0KvLzqZXFMzVZhm1095whlMPEU5g4CAbprk4Tigr+rBb925/rg/2Z2ARd3bNG7nF9aLCWAbKHvC6
sq8jfIpFSSST0e3pch/zsNfxnNi+zQRYLfHzdaR0xxbJOz0MtG485lInUCacI9Nk0t+Nm8ovL4rC
41Vocm+k1VHhxSdDaOFu0+f05DddicrIHs6x3U7LJlPmGkha8Mp78PGIRJTiOImKdak6J03TbhRW
fn30PmHj2uejfZtH+ZVH5Bbx9CvwchelIja8rC770linbc/YQzvxBKuGXSW7eqgfg6ImfapdDop/
NA3ZCivKb15b75nFJyDum7VuJ5uea43W4lRzeGOzS626BV/2JmMJE4B/Zj6S3wQqVwveoLc/A67Y
RZDeApPAi+BBRzEbd952qtKPSpPvyi55nJAQ1NdWSl+5z6kyhXrFKZMfroW3wPqPiPlAm2yrv4E/
olkQNecigGajCwIXGSmQ9umR+j3207ZSjcepJ8uvr3aGM6GEIebRPU0Uc652AfVJd2umyYnTlNk8
4SmYZbnx0fX8jSjrPSyo4ynR19CHNoFjn/mZdVs1xdEYxKt6gvEQosesmRwOqrJtU8WFDdFsi+pz
ODonZqYt+0ZsoBEdiQYYSNTYj1ntn7Vlu1AExTK3O/jN7VjhOSI3kgZsgl+pLdmJ05E/yWyHl6T9
wDVcSRksNe6TC9rHGJcqomkWuFFtLywtb4gzeIzysQdApC7VaDge7L7ehJQo1F5GxjxBuyg9wfyj
3WsDguV23CZO9uQO/NNJixbKYF0qunmdc2FnUy/wkVI5VAP8AyIHtOQ4G3hcMyXfJlZ9goA2Oul7
Pjd1i9Vkk2jk5MyfkkJct920SrSOrETfO55qHz2Lgh6MbKPqDu03cnwczpiAC4Cac9AzIAmpcJYN
FUDvCthRFhy95MZApQ3KU2e+Sb9e6Y/MsFyqgbiLfKYbiV8jbff1yzSgIa8YG/S5R547aEzE8Py1
fbAjI5M4RxM+ZT4EhNsF1UmMQWPR6DzmZn3vYh+BcngpqmkWKLY1dxKXhg7D/NazN2a+G1ADDSSD
BwbEwLI6r7zpU16FFDpOyYgge9IK1tNS2WJFjuE0TQ+TdH42BC4aIydhtowhBD4PfTSPM5/1ruvC
O62SUMc63gfJp3a6J65kk5PSMji4MwtxZOM2aawYdxfsPXjfrS3j3PWJbw4zilLzbsStcpPAQPB6
toliRW8im+m1/jEKppO8MdAkwsh0ofrmzLazmKYUltZZE4KZSPz0QQ/NT8xenYXu01RTyfJe+MO0
zlOSltjZsNeZ3MuepBN6zqNjsg47RzppeTjU5Ua3yJZFP+0dHnhvujKHq0CsXJ/oeWSZKfTqyLkO
fI0OWTAfldO+vnBS9ZHozZMWqaLeDBe63XIgnTc3rS+wyitApwX7unE5mPZOJf3WT1jjx9vcU6s9
qBII71hsYQckYBbE9OjTBlJM8VlV6OoBE2McWxzBQt5EKj2uEH+z1S6LojtuiprFIWPH0yOd5h5i
ihVFsyF0FrWuboOUW5xg44/IJGZTEd4PvPfYmTWnjUbN2seb3LIXGlsXmDchzu9uPY7i0gJuGlTd
ZWAUn8rR3KRqfj3BnoX0g+DUPMtEddngQpyZPa/fnqlDVbb3AVZrPzaPjUicKYZ51w7eEufnGbDa
TWDQkYHQ6Ae0z5BehAKWvmjLKwMl5UwPxysnis6tWNsYBjDboTpt8vFa9O0WeR8lGA77mWOBgAPA
85mJY7PhreSxQ+vLdZF0gHEM/ZLdLKDLUECAFL29mmqtm5EkcpYIoJgoQ6qzP9/t/x8ipQJM/Pua
7lme/PP/dnfVDxr9/LuvjX6HNHEUF4ZFr1/VxUtRN3HivIocS9UImXotoRIfhIGwSsKWXVvlVYm8
6quESvsgD4SLD/E4Eknd+VOibsP6QZsfPbcODplDArd/I6GKnGaMmog2f5FCNiys+rQrGW5Xfkd+
skWxhX/U22qCuOKpo4GUCH/n+u44x7AOsM82ziCMdcdeQVzh0BE5mqEcxVJ9g9nwUm15BBMRw0t2
p/MpgIpjVtHCtfBvDLSWOoexPSdw3PCKX3TUC+M4ZHMAFez6gKsXeuXu9bBiZAaQkDxQDMIRZMga
rgANArgQlGsjIeW0+Oux22Hblox/Oh2BOaXztOk9NOWDdP/s9cr6DVvgMopp5GnN6M8dW7kqEzgG
49CsUYsCNmIObsUpEBZhzJG3UvJb9tHIOOIiGs1yEwzqRa/hbNEoTcvcvm5wcDMbzTaFktKMFa63
y+/Dk6avcCqOKBeS6Dfo9ZBXveBzrKd7/O7GAl7/yCC/AfKkmDB26e2xm83XLeLOZedWR7VSfmyt
uJyrWa4dpZOLpcXz8dhoaF0UkV10VgxygwSybZy22MgKvTlvev2kiKfs2IKvAmlahZZhEO+Y0w5Z
FHqQc406e1z7kmxkiewBXkpzPJQ53DR8Ro8jir5ZKiOK0H0jvzjkFpGuvVI0oozkSFgn2yiQIUdY
fzahMBahNl6JVj/P0Nu5oT/HCVctAhoG8xwkokqSwLpLGYOiOb6qopipah05xyk5fotOBi6VKT57
nyk0tUS6DwsYywb5jTPowFfpqF31ZYR4GFWyaQPArEtinejT31s6qNwmwInmyvAnigHnzK4NC6rq
eJnqtbX0NZoWA6zvkMAWF3r1wpAZLiw6sJMREeOSR/2rDqCULSNXZ1PQLFOkzbRs2FGEZX/rxVo7
b1HTYF8CCUt6jFpVNw5xMn6kXJbEy/D9LgW65Mkqb12z2Cc2ePtagu6ZywoCfrH/g8DPAbJFEopv
Sjx+Biff1Ykjg5vP/cd0RqL0S5j6gYTrVxKzjxBlU8DdJ+xjK+DwZ017gzKcbpFE9E9IM2alQ7Ub
SYB/lcQKbKoO0L/E+1u5wpkiy1tEEv4PWM6/qi327LkGDGpAZW/KFNtoqo/8yTypTPeuSTVlXctg
AV3tPioyaoBkllUJ0oyHmWFDWmTeLinrbT6oV6wrDCRiM1oCZhfrqLXgaY3JAxbyG0T0FEyWv1OM
CmKBBl3DZ9rhjNOpRV8BpIi+bhrtIu/QDDf+dJvKUYmBYGRkdqJZ9jJjltKr4aUhhyvguk5rAdlC
LauP9GnrmQjpU3TMZDDcno1FvKzRpUC9ghNvyQFOI0c59QS8ypXjnbChnyYHPlh/1XUmh0BKjDmA
tqa9bUWnk4uXgAGTY6OkUqs1G2YScuVQCZuysVIq2JaDVh3HcvSk2DHAFnPcgJFjLDUal3xwDNGt
fKJHeuwywRKUMHh8d6kcbaGZYsglx119XDPL6I8t5mCaEd+Morio5ICMroo65/KeqMzO7MMQDT3/
kc9crZUDNpEnRBDJoZuid9MmloO4pHKXyK8vQKhLV2z8WMqBXSdHd6PXY1hTM3tFkH1/laQJtmWB
/7nTS8AOVCui0BHJm+u+oUeRIa8nH2xaBnaNUuqkBwCMIeTOCUymh37wVOObXvLgPFndqO3V0tm6
jByBo5ByzxASCeqnUU4lLTmfDOSkMi6r5LMhp5eG3Ku5zIdwATPbLOSUs5DzztCn6GKeoR/pchrK
yzFYdnJCqvbjzmFkWsjZKYL4c0tOU1N20rNCTlgLRq0iiHd56Q0r1wouBtIlpgk8QpbfKu0qyh7t
tuq20WQ+TXKIizzoSGYH6lVyi1sVbHhUXCGHoAZsrloarUsnjND6MhpO5ZDYluPiWK+OOjlAdlqw
ioHlHlcxYw19ym+Cw7wZi1R5P8ohtCXH0WUveGtW3jqWGA8aHoQlyvF1wBzb6XgT6np6VMgRt5DD
7oCxAIqY5lZRQEPIgbitg4aIYu3IJJqBzr7GVqzjcQ74T6Rz8HDL4Tquo24VyIF7wOS9ZQLvMokf
xyJYZXqszkcgFqXDqjh2NYEomWIhSjJQIbng3HKLeUxrFHRE3KFcEBIXLkVjD8si98hNaKHgKZlx
NpZasRW+8SSXL0XH3YOvpF/ThiGksHW2JUMjQPJ6TU5txPdV0n8PPWHu7WR6yHp187+V5nesh2cb
4E9RD8d5lWd3B8hDeOf/CPj6ItzD+sCICdE+vjdNsw4Yh38BX11TNcjWMJ8L0a/RquKDAf4VhIMJ
XY2qzMDX97Xa1DEloiqE7mA9uw//FOyVk3gjKjFV3UIOzGhCswWGQs78pajE0ouqyPHiAw4zgJvZ
eHEogIq2Rgyupo0x92PUszAcE/ui0E3iPhua4esxsxOgoMSsPnge3btJmnx70xjOAd8otDr0wEB8
SRky7/P2pjDI2Ow9DFi2YAUyVbEdiqBbF6PnrIyyJjnSVwvabsyIyGIn55qB9YDjnDzkCtGvqj5a
ipPmeyNxXCBWxgSnrbVy8MZasjNa3VtnrcxIJYf1txbt33xC0rWwlZjmqOLp120yMD8vbLBxvY6+
tsoN+lxmCxQPZtwO1aQvLpSeGC6rmibIEyiJh2JjI9CiidU1kQnyKPYEZUQm3TCV9MXAC+z20cEs
Q4QiHn/poOHd0D34Ba4aOqb5zpVOm8IbhktG09hvqGICxF9Ea4mDO8dVlF19sOzEZStOUbti5LGk
p4cQMuw9mXT6lNLzk0n3j3kwAoVIBz5FkbQHeQerELY+bEPmwUIUSzfRdDAWNQeTkXYwHFWRNB+5
LCmfJoNXrpDepE5BqDJ00rCEFcnHvHQwMpHPpM876W7qqKv3ID7C49Eldb47eKGkNnLHpBuH1HBw
S7Eaq+dREHsLjGDpE+ZSY6W5Ji6xkkjKSRqvbMenP4cXa6CiWPk5s71BGrWY0wYImg7uLWnksg6e
LrUp8Xf1I+2EXh8kr+PgACP/wF8VVXvcR/o2QF7wyGBy+DQcPGPmKP1jTkHDUK1zlTzWoJZ5rc4s
IiY55Q7LwfHXjNj8GCl92xjTgxs50WUfG85elZmWeh8WN2MvufthHYYrI1FJl/H5qkWot1jhGzXY
ag7wS3oODsV9Kty57+pFydXCFB8rlf0Qa3QkGy8k26tqTcImUEVcgoZ0T3O7p8U00rbyqtG5dicz
2QHDR8SaAVFpJRmhq4i11SajvdWsIrhluO7dEy4MBXRUryI8KdtED59UN75nxJWh1OoWFVMAwX2Q
ZqeKmdnbznaLG1DH/U2YRv2cOkV2I3EKz+oKEUuJc3fplD5w0770rib60pc4ayzm4A3TXg1I74lB
rUM9X9ruZatX7D8wiOVnOtqQdYVd5yYSTn6TdQYcv4mNzrFRdWQFKLAgPCkVzVBxrITwFTT1pvcp
da18k9MDytBP6igyjTAp96OTO+WszEEWZua0nypHuapFUV2bRZEZjFJAwgbkJt376uQxE+ed4npQ
DisnxyjZi7ZS2eym+FJq0+jcRa8ZZrooAh1lu2nG42VVG0wcJ6e9xX7THrtD1Qy7Ojedja169VEP
33VtEKd2BtFr2mFMpR+X5/iUJS5roHYCAxwXGzpN8QPtbhrEgWvKYEbqVYPcvVXjTvmOooXADSyt
7a1QJ5VhELvH+5FwR/pfll+dNU7TnoKAJVRDH8ItbpN0ramVpiGIc8kNigPb7SmqUPWkCPXtvrHO
S9fwbkGf2stYyWCBppZd7/uyyIH4ZdAfVC2zz9U+cYA+J/0D/rwYZTwRRvP/XfB/Z8GnofP7raX1
XfLP/yhY6usfNJf4l1+aS44LiV1oFnWczoJ6kIp+WetdDSwACVqqqX8rA74FeVmOjEp3DWEYrPov
FnsKAdUBAAUBCv4UlcCfk5DiHHxhzjPBS9lSO+pydrKAMN+s9QpYImrYSaELma+kyUYHiFilnzPT
2CQDaKVs3SZ3WXaT2HtaSNB+6GgO+bZU2vVQamv294xDxme18sPwf/yn/OwZV/C3rE3P8jBr6n/8
XX7qvyAG8qxcVdd18ucNA1mrxvV8WYEk+eA5patAhlMdVpghzmj0NO6yDtAXhAgrZi++uh98nryg
rz/QUVVC7V15JSy+jTcNNm8yoo6OnrUMJ9IiZ+TkuvXarC166401kULWQVjS6YIYIHR7SOwUBWoL
0MiPM+WyFtHEG9uroeQNhJGdtBNeiFnqeyoa79bEgt2rtXJORGNzW+KFqZYZgrF4plsQGGblYGgf
i2GCp+d3wYTVozE/Ka09+GQKsnvADu4SyJSaij8uY1r3l7TvJt7gmjkhpM/DEkYPv5q1rJO2ppii
xx2srV5F8V9AYGCEUMqvN4mA/BDqrjUXXs2tOs/HhH0WuEXg55MD9dka6UJlY6Z7S6brT4jiobak
vmqB6dKto5JKsF+HpVlKUUcWgbZJ0Rb5hltcM3ZvcABGsmuedH37W2lYrC9RXQYrGH147HKhJfXC
L8OcjJp4cI/C2KhS3C+DGwG288iUcX2/bABvppM6j7o8a1b0GBjPGd44PTheiWkwJBognVUsJSlE
eppR8zDlcSEbvs7jRW2IflnRVUFQ67TobLWRr8DQMYHPJtguMKscWo9Lv3LpOmaBYiItpb+HnU1N
zOtU49WMe7EuVkPuWDeDUmb0GJNeNBuK0ehEKNhjfnHzie/udkd1XDjMjurqqmXZsvv7AqemkEaa
DOlIr7BEjBOwp91YYM0g9ZZqgcWyKDuif7t26yUD+IcJUFCENn3pIXSeF8Bcz2gtudtQjcXcmVz1
XKGxcvTzJ0RIJfmrR9KBrEnHW4UyZ/IGeqM0rzUf46CwxDKvYBTPk7CpEzqXbsK212jIjZtsxl3I
hXrkM6ifxTzAL7vqkzhkHuq49eoXJ/S6J842SGNHBISP/RK9eWG+OaEJX05FlBp86LDXr9q4rM+i
oIaS2qbVviXcdUtKa7byBCEBkxc6e6Uf+hmMhQw3TQATu6Pi+8U5yffSi4vkmpal45xWcU1bmOaM
N+cU2FZVqMAol02J6VOG1wFDMwszv0cGUNJmtDSgG8Ip5c4oMvqNRlmaLQozUgG2Qo3T56ldIIVo
YLicMR7E2jIxHablWYwNtuXBGWDIAtEi57NXKP5//guAr3lz/rbcQWqGo9tMNfQ3d2LrN4jf8whp
Nc5RBoYjei++25Wq41j5+Ue9sS5gS7f4LAcylIov3FEPIJsXd72Y2qnNYsQ6rdWqn+gtmivP7oPz
3jPr6yprgU7VY+bI5MUAEUDI2JK44IIdmFVLw12E6RYDOwaFuoljIrgIv7pLozxm9xh7AM3TQTeu
6pqobCQQjcd1syF7TDb5ATNPjIn4xaL1/ZdvW9yUeDFMrh03wevHOI6BcEHEx04YthchaU4LVouH
vMwZJKekR05aNe78mnw4z5vcX1xOIVeo17eebWvs3IUABcAcSy70Ly5nVgZ1XFkS3Yrvc50qXr6e
QDysGQtUC9cGIIq/ldFjVNXLEobLUs2MfD+yoC5K4haeWQ6/u4BLDuZ3p6ObJNSoNjQiQZXy6nRg
Uqt+iSV6mWZhfTE5Flqyzhnv4qpSVqLy8mk5NQz3GawMxsy2jWHbxIOglUCXD82xFzQInaFoWZtm
qohwRwVvHSWmrZB10hdc0hYrnYnojLiOmuEOQ2gtMXfumAWQvwsXjSpKARRhpFzOYhE5/eLnN/AP
nhWbgs7l+9Zs3T7M7F5ecKfp615lGdbGnpZILdqF2xYuptEp+MVHiTfvOvms2BaNGsvBOMTK/Oa9
wtyuT4maEMukIX7a6lrrcfRNVGsa8QmrsHGCI91Ly1Vsog7oMuGvfITcy36qURb2+AAE/+YX74of
3O7cNqbsReF4Ykb6+htOVbq2eWQay9zP9lWl7wrNOArs8qS0wqe0NSgGHPvG0IuHn1/3H9xZ0j/F
iwPLE06rN48Zy50W0sc0mXjoHUzkqt4C5+znFiPRZUNE+68u/vdPFgNXxNOS0YWj131zK6cGTQ9f
YQBHL6Hasxz3iOe4c/3WQtTKKGBrCV0h2iZG4xQG+hImtbI2yDad26FUZvz893+7EnMzyHG1bRgs
fNgYtDcXwAtDI9TskgsQ9N6lbadONR/7kQqxcAkipc6yOwp0S4DAyJlp4QTOw9adWVAhrhkbm/0v
7gT5ga9fPcBobVvIAlleqjc42Ir9ta5UurHkT0FFldln8uOTX3zIoeb/16dY8Er4ABopBFqpJj9v
fm3bVJoaVCkKK+wQpEf4IFMLNsSoPj2IQGSZTS1AVWFizB+mEACrnoNJpZGjMbNFkxjaqEOhyk57
Gu/5vAmTaE7QKruKEJ4COVO0cAbH0m800YZIP+16F7hTiPqGkHKNnQ+JmtgzJ+YUcTylG7qgRA/5
ueTT47JTlF9UOG/eoYffmNQvvmKLyT/MuTc3nut7eQFSg9lZkq7AeZKbA56RHkylrvLKxU1asCQa
GZRuEaVnNK7IccI5DwpXc0/qYXKWaW8xVTRrwvNSAdAsBCAL/KxFlEnah0o1SydzCq/EFA7Leio0
yfE2z60MtFDj6fVzFfmnMuH+J7hQaca76Eh4P/LW1unyq7w9f7+XcFo9JWyi7152En54iK+KFRNC
tIb6BGuOIZcgjv51gGB/sDTw0CYiEkcCgagDvs4Q1A/scQk1pHeAoJVdPwOFf00RxAeTiQTeVFcD
oGLxjP0Z7A8rwKu3AresLMtBELL2C15Xb8uhpksVjWwdJnss6c5vaKzYXSy9yFNw4dWWXi2asq/k
sD0og3kqcuUxyFWa+OiqcXsTeBPjsbNaIRmxdLdmfR8BLNbjY0Jh7LvEszNa0QoNriZyKlqyroAv
TEQJYLQkLS5CJoEYWZXqetQFrBe4yxfOJK07UVledqNP8xb9DIWCYmNaQCnHJF2tTZTenmUdW0zv
j1qjE6eEdUBLTKzI2AP1QWvgDtMuCcYGnaKqry3SWtZdOWVnmi4mCCOqPc0DwyY/WyEEfBG0Qt+B
lbB2utYgy7CjpPpoFbw15wI6wLWg83gSNS6DAMgb+kNndx4iSqbuBQjeNiTTKSNOrQNO1OOrn+tF
V/VzHzNjx5trTG9j0B45cALVPptAOeazMWRKgBtGMYdVlLaU0NWQOOikBySM4P1sjA0EP2fTTJCV
cFWl5C7N8rrQXawuKNjJ4PbGTwAGs3VJepsBXkdxCbTwjJ2V1MkZhbW2IUsDTSxlwU0CNmeL16pa
wUNTP/mJlLXGab8zkjSdmwajzwVUx2ChdEq86c2x3ZeAkE6amGHqUhnEcWOo+pViTyJfAoMkliHy
Pe0KvX57MSqkwpZe7igzMwLNj268ial7fKUkKokdJm3ZDolRMOg6et+cUNiBELaFsMBqryrFaq4B
e0Q3RaXn8XpQtGrr58IvZxNRV8t+6M5bhqk3qjCSK3UiT2qCkHzUF1Uyt/pQXbIYlSctZtqnnMiT
BaFR7a2v1jph64Z9RCoJ8iDvSt7HRoww2xgyJIQyb8fv0XXqDjHpJqFrc5MUaUZmzaXJBGgr1IYA
n8m0TzKZ7tOXFQkyWt56H7VsyE9cjRQXm52zftw0Ef66osXrVvuj+TmJmvTcm0LIT67MOmrMXjvl
Fqo2ZtV1gFM8Tb32eEKWhgxQMpsOGMJA/me+IAim/xzRvElXLqgcUlrSMll6RmUEM0wi2PFUxamX
vpkbpxUDMlhdiG3Ri8j1ZUwBBNsVnh5o6ra1NiJyrRyTCIEx0mDCyfgrpvXDIon16Iq3A+HTEW3y
Ba0xZaVFZAW1MpCLFefGruu1PwplnHVEe8UxCqS5PqYOt7ba7jLK3JY3FMtWPhCFNlT3dqeKpVsD
vSDCSj/qRzKHU+IZHqm5snOzrbXb0ZyM30yAwNNckSFrpdwULBq+VbNMsqUvk9lIcizXo+kmK9EJ
WuiV7/o4KKYUkS7TQsRGyK3ha8RMFKoo+WR1VnZfm9R7NiblTSqj6oImdk+LvkWv4ZrNWYzBMyBp
d85+l+dEaON+SlDzDDT/ZeIvvrfkgJ7sx9q80CSPMpVkyloyKvPUAVcZHtCVoaRYdlVM1I5pg7ZM
JOWyhS9PWrlkX4oBW1cqeZh57WpkfklKZpaZADM9yc70Nce/MjMzXHZYKEAQ5a57m/XtJxIDqVVr
AwYnG5Xp1C9Ue5nQASUgxkb2KqmdTgLwK5Ikz27QXEyF0D0dh84OpJX4smvqfFdEnYlLFh4oo5Fx
5UpGKH0flG6TJIfCKIyBcrqfe5cGhylw+ngMjJaDZKmMB/woAXr2zJBM0lTSSe0Y00fUIZgZJLsU
FUZ3gmMZnqkkmwJUVS9NSTvFw6LcxpKASmEpaEE6wQmUmGYB9y4+gUUpe6mjedpLjmopiaoQrOuj
vBXtXeYigwp1kKQxaVrHuaSxWglCFyZ+9sKSrFbKrgFwJ2Lkrk3h0Eqmaw7QeTZJzqupQnwVOCqO
ODV7O0gerJ1TSAnJiPWdZLgSkhtbKUFyX0mWbDRAlXVCvVxHQReeTjHM2ZRMt6ViFuO6kkTarCRU
qckJ++slr9YrFeXMZ4A1B3LGlYyIoS7b3ph1Rddycapx1fFW3PeepV1xER0cQaNzW0mUbimhunLj
eFWURbAuAJExfgW+29vuuLOshu59rzQL4m8Ibmx8d1fD7VWEkeLnlCxfJSUOpnDpjo42jFJVQn/x
1nDVJAgYPIxGYCO2rEN18/9tGfjlxBd3zd0ya8JmPG+fqvHiqW6Tpv6alCH/9DCvuMr/a3/p5wf6
kip8NRZP//j7Q95mjTwDP8yzV1Uhu+FXdeThjA6n+7MDJHf8Vu0jR4ZFTVPGpstMvZbkGSkEz/8d
pgmqD4vqD2SJ/KHHwCe9uDS/98v//Pd6voo//zuvTv3uMYWWE9bN26kcrSTIiUxu/sgFeHOUFxdA
/0D2EZtnwe/6/PPdhdB0lw2tJp4vBNuuv9aFEM96JBpS77sSxMLQRQD69eUXlaSaV7eE84HGLDtQ
GUHz17oEsq1IOf3eKyA+kJst/0/q6g8/310B2Qennfrlj3lo/nIXAp3B8y363J399p76/q3ws4fC
pHPM/IkN4atbANIRg1iSv79cob/incCmlZbTO5+F17+383zAv9bbT05k3vl7qh9shAgweg/B8fKm
ZkF584XrNAaY75l/6bef9t51QP0AgE63vj3ZDMjfXAnIygzDHE3/slA8f+Jf6JZ4Xgdko/R99z43
Bd84BigSZZ5/eLG+vClIJOMFwHpoMa2TP3/BtwCCGfe9T4fC70lTDKfV868p//+bS0HMB01oyhCG
9Yefv9xdwYQeXB038/tuCvEBhTLxjXKu/vJe4AIYX7qLzxfg+fb7Q4/FH/hL38pt8OfJ46HQDp/q
H9Xjv/cXvpaa3//5lzJz+4jgyPrW3Dz8PVl2P3/002EDIP/3v71aLg+V8Is//FoZv/znX36/7z/5
h+f09T9uwqfqrnrAY3v46C9neXKXUq5fIUNtq7ugvXu5C/j2Ff/rfP7x91dn++Lb/9nhz8KHA2X+
7dGfn6X3Hn3d3o139esTZ1wlF+v3HnqJZLi6Sx6/P/xhjXz34ZO/nVavRPwUnM911nsPzc2R3sP3
n94e/rmefe/h/33ion+9vvJO/7Zreu+R5/IeDV8e+sv6QwXx3mNv0/u7e+7zr0eSJ/7l6Lxf33v0
y/ahTe9/DPzUeFG+9/jHjG44/NcDvTh53o3vPfjJXfHqTvmy+ftveIbo2OfF3fCDr1RurN573j+P
0/r2kv2vvbd+RXB95+F/YRt/59Hnd//8fz+0pFNVvfeq/zEb0jt/gX0e/eBJlZ2Z957+H4w+eef5
/1K6/c7jv0j6/duXCOCnr9fm8HJANvQlO/i9F0x+VP43mrVh5ucyZTiBbXxV//M/eFUnrxdHtJmH
T/1v+Jr++Lz6p1fyR+XSt44j6+QP679f/gXKOHngh+Tprvq3/wQAAP//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2C031E15-661C-49E1-A485-691061FEE4B5}">
          <cx:dataId val="0"/>
          <cx:layoutPr>
            <cx:geography cultureLanguage="es-ES" cultureRegion="US" attribution="Con tecnología de Bing">
              <cx:geoCache provider="{E9337A44-BEBE-4D9F-B70C-5C5E7DAFC167}">
                <cx:binary>1Hzrctw4suardPj30o07wInpE7Ekq0qSZVm+tu0/DFmWeQOvIEgQ77Q/9hnOi22W3faoqGrVeGZO
xLYcbbtFsRJ5z/wy4b/fur/d6rub4RdX68b87db99iQfx+5vv/5qbvO7+sY8rYvboTXtl/HpbVv/
2n75Utze/fp5uJmLJvuVIMx+vc1vhvHOPfmvv8OnZXftZXt7MxZt89LeDcurO2P1aB55dvTRLzef
66JJCjMOxe2If3vyv729WZ78cteMxbi8Wbq7354c/MiTX35df9ADor9oONdoP8O7AX2KOGGMYxH+
8fXkF9022ffnMnxKaMixJBh9/SLfiV/d1PABJ8/z9TQ3nz8Pd8YAN1///PHawdF/fPe2tc24F1kG
0vvtyebW3nxuhye/FKaNvz2K2/3hN/FXbn89FPd//X31DeB/9Z17GlkL69SjBwrZmPpuuNGfb8x3
wfz7WkFPJWVUYKW+K0U80ApVXCmJ+VGt/HOHOq6a+++u9HP/0V9KSfFNcwMG9B/zGvKUS8YUw384
BQKvOPAa9TRUiAkl+Xeq39wlvvnv//v4SY4r5ft7K4V8//ZfSxl5UX9qhxvffpfNv+8xAX4aErH/
hb+7zAONSBJKRdAfz9l34n8o5p861J8o5967awXde/SXUtJG//Ji+E8qiD7lFNwlpHSlmPCpopQS
9F1zK485fZDjSvn+3koh37/9l1LGzt4MN83nm+8m+2f+8j+Y5uAIy38yxQWriKnQd+a++eNpesfV
/v29ldq/f/svpfbz+tPNJzucVPth/fNYuYeeUsmp+BEEw1CtvFE9pZwLRegf9aA8VMs/c6TjivnH
myvV/OPBX0o5z6Gk+FR8l86feeQ/r5oAij6o6BBh8ltJhxA+1I1CTyFIQh0u6LefWEXKryf67//z
2JGOq+bHiyvN/Pj+X0ox18VtXjTQjD0miJ/skkDyXDEV/iH4vfhXypHgOEQxKtUfBcbKcf6pUx1X
z71XVwq69+QvpaI3tskgruX2P6kj/JRIwRX0qoduA5phkjNB1fcW97thfMs0/9xhjqvm/rsr3dx/
9P+1cv7scPebpYOf+VmIAT+lNJRCSCi5D5qk8CkVApRCyLd4Bor7RvSbYn70/X9+kuNa+fHiwbH/
x4GEP6++fqTk5Ga82XyFbu7hDI8//coioEmrVw962QM+vwvx/PNvTwTgBj/woP0nPCbg7y/c3ZgR
kCHJn+KQhQJzJhXHXEDFNt99fRSSpwiFWCJOCSHi66OmHcb8tyf4qVCYQo/FMGMM9P7kF9Pa/ZOA
P0WYcvajMf7O2XWrl6xtfojhj///pbH1dVs0o4FPhTKl+/Zj+1NyrKREcKqQQdANocuGVNjd3rwC
LG7/0/8rcK3NK+KDja/arZXVGzrO8VB/aTg70y48b5ud1TdN807LSyWnDRZDNLr2vA/szvVkl5Nh
g9xyfk98R44F0l2dKkTQy+BQMSYZIftT3zuVbl2q+jAINxapLp5c1cSzGcONyandFCIMosfpqQdi
UAhRCVUcSEKAKsCD7hNMPSsnRLHYFF6bIOpFw+urUXiRRlNedTTKKBuGaG4CaWKBbJlHWdUErw0u
PUpwaqYmclmvr6xfiiGqsxTxCFluymhGJniJ+3z8va9cOmyaqlRVRAXCXdQ7Rt53zpdZlE25/z0v
R/4xsNJluzRcli6ZlJrL140JPd7UhPshKtuiT7d7TsTGaGtwlAWM5zsxo0FHXTgU6oL2e23qsqmm
iHsyvkoNljhuF+23ncMT3xVeZbtALCVPdGA122qS221eZ0hEbUfFRd/qZt4VPe955GxT/p7xmtKI
sByLpCmb0kd6mu2Hnokgi0rT59suLacsajHRJsk7KdqkqNhQRw13YRmJMB3HOMyyfoxyXHsUl1Pb
jFuWM8Fjli7+VqW9y6MwNX14UWUd7+KiljKMSmraKmmyeXlhqLLdRpAFxMto2eWRD3QroknJetxk
QzinUZMHPI9tEHARIaT5W+v7YYldq8Q7F/QNi2c94/EsQ115hQMy+RPWFK6tVyEVYkWhgqEIwjX4
+31jCmxZaFcvdMMKas4F0uGV0D3qojbALIhT7brzMSjDOtLaki5GE0DUJ87w0KAxVpiFaA+dISWh
K7x/BkOyTmks8KYdZL/EuhiNjv2kSHnhZVOBpQRzzaPUod5FTqrQbB93KQxwxH0f5hLQcIVBPxwR
CGJ8dQJvlmCwvkKbuZjpG1v15rrMzZwsth4u7WSb81BnzTbFRRj7tFCXwezmSKZ1E3udZ0k+jfIb
bv2tNzgSViBPHh4J4HdG4EQhAcSR8H3YuRdWZCC6YkElTnKc6uchG+yLkIvh7eOcH6UiQhyikEgs
2P75PSqZy0hZ2gInhLrm2VI0eqNTTzePU8F7+d2L3Hzff2IwMwwtJg2R3Mv/Hpm+RGPapsBM11bq
OpwUf2WHkd1hliXWK3YVLuF7CM0s6Vhm4rGv8hNRemVjD06wYlThFvnSVTiZHf4iWdMlrRmnuCx8
1IpexnOWLlHZL82Lx1lf+dcDuquclS5ly4qixsmU2/nCdyK4KHv2sc97m0Vj13fbrsyWz0sjijyu
UbtcP05/lZ2+0ifQYeJQUEzB0Q8lHzRB2WUsQAkYdbZNWZ3Gec7ttXRGX8iFik+P08P77LNWNWUk
DDnBYFIKaoH7qi7aoE6JFygh4VBtApXLxKCOvM21QDGRrjznugpfTl0wXXnM3d0iavma68yNJ8LK
Q9umIczoJOFQlAD7Kw9qEQTnBYZgSVouaQQ+Rl6xfqlePs7wnp8Vv+ChJOQSxIul2BvAPdOeVYtp
2004KRkq34zh4s+bysk3PPdhtLRg4VGW6/T541Qf8sZg0kAkkdB+Iii9DqnaIFwq3YE5826EPJvb
auOnYjoRg/bGecgbQxwkFAIAAb+zVWnTthlfQJ0oYdLkW1e7ftdOEBFrXOoPjzP00E4ZEiEJ94kI
Ecjwhwx5lUONpUKU+Hyanzfh3L4LXGOjqgvYpu2y8vJxesdYkwQxsodfFCErAQbO8aaZFEraou13
fAo0VJVzmVhX5ydI4RVvEJYh6JEQMfS1sGar7JJLMXSoysRm7M3kNxluhI14x9tPdEn7KW4FqYYI
q36akrlk8xlBpm2SJeu75bKWHRo3Y9a76zkbU7upuhGx566QC4myOYCc/FOSgdNCZS0oYYruhyd0
VRHYbGRyaEuyKXTqEjoubVKNpdsi2mQnPJSs8sI3WkoCwoKhooffDrWOvfW2qRayscKij7N3ZRfN
KTdvh8aGQ2yWRpHIV7mmu8I5msVVptgFluW8xCpkaIjMWFUuEYUPb+oSksuWVaka49pR9sYYjZpI
tIawxEueNlGKF43Pf1peUDYxgSQHcUEvcMhDVYUO86agG7xQdUk0VReeDMszOVX21eOkVrFmLy6I
ZlDbY04ArkWr2Nr0uakGAemZjTneecz8S+5TA4VlOZgNblD6hvelPRHhyF7j98LAV7KUQz+PJINY
IFa+2VqFwBRruqmbwrwq+z5t4moYgi0e0tZvxgFPeSwlc+dj5fAcjzXBfVym+eiiippGnI1+wDKi
qRcXhSh9u7O2KHZ8qGsbTyYsmgs8E82fuUzLZgdD8L5M1DgpHVW4VHPyuBhXwfMrPwLLEFRGJJX7
Hvd+yG7UOJsZQZdChmx8HtouTKTz+Qkq+wiylpogChQlGLTNX2uie4kh7eq57pzCGz02+lJMVnxu
RSmyTTGq/IKmdb+t+OwvG8vCNxYS04kUcYR+CJ6MqWCcAo65qjxqSLqmLTlEz6y5HAb6rCPsIpf9
VS+Ku9oyGzVKvmO0u31cug+jHfSmgoFTKy5hmWHlD30TkKKZEd/UHZ02lR/MOer0HIupLzZjIOVP
y1lBsCIgZAghMAheWWfNehFmQUs2lbPDZdhS/ZrVeXNeQRtdR6zI6SYMSLBj4TLHsmAiPxHF1iUP
2BO0/uAbDLoHWM8gK47TomAFkT1wnM/paylrNcTLvIwCWtxxKaDNlBOgEALPOmorQcsYtYUNI0Gn
5m1fCD7Hj6vgoYEDdiPB5AAFAOHQVXIbcqjCg4GyDTzlseqbL9QrfYLIV7b+YeCC7hchAImRIfzJ
4WvFtuTBaJouRBtUlamPSCb4bWdy7BKVNpJtawju10WDOfSOIwzpE1MxRXYzavIvwnX6g8RhqyNp
ne+ioOYhtPNImmd56AuzpWXREIBwWlzHLPf6d1NVvj7LKlUWUdZWKI8KiYNg+7jo8KHsvnIlYIdD
SUH3hQ9bmVOYpW3XFIxsJl1vTUagkC3FHGFbi1vvvEORxzr4WCxODlEw9XY3tqULI+wLtzG+IzEr
Gv6SqaB6+/jRDksWOBkFiCkEsGV/OCbEqowIA1D2Ug0yUbLok2lU1EUEIJyXKsP83U/SYljB3IlJ
wNkkVEkrKVg790YSIhMJmTkZVFYndvR97CRyJ9znAVv7ZkEgAk24pOA9q2gc5mxc/GJVAngSvazc
LDeA3Ew7LrU80Qyt+nwQ4Z4WIJgCVMsh8u9j172YrGmmkO+AFmq6Kw+ngoBkp9jWWN6GFAAvRQFD
aidvt8iG5CIXZRWFfYUiastu21cZO9EfPuQeyndI6pBZ913TV7Dv3onIODQUGwncB2zZGjxyAPRm
ca6GZfppQR+SWkUFyQZEGg2kirwdNgugGrE0GgLl6LMTseGwUNnLGQBKvF+UApUyRFd1HVFlHaZW
icQ3aLqe0LC8a2UWvPJuUS8nk+Gk0g09kfAeuu6eKmRcsFxYzYT0c6jdYWmWPJxKCZXzLF9XqAyi
0LHyPPSGnGU6VXEnWxPRfGk3ojD5JcT09joXxfB5wgPh0RTy6ZXXPfl5JUNbIwTbw8QM78eI983O
N1NZNdUok1m5cNv1o0/cYOftUKRo87OOSwGKB8FTxKWU635/brOWzbWQSe1bdEYzI56TkFRXqJX6
7eOkHkRKtie1x/v3eQbAoxVXuOtb8GwgZYSMuYaIjLLlVHg4BG6+mpKCT4dFL+jSgM6Kigj40DGa
yiR3UpdbUmL+gZqseebqkvtoIqF9IdrGP1NTak6Y8SqzfyO+34GliHGxnwYfsmiyyrM8szLxgtoL
QNLtNqt69kLUaZfoOg93meL8HcAaelvLXp9D5V/cZHLu+xPOe1jN/XESAoMG6MoATVvPPlCTpV3o
Ggk49aKfG59Wt0b07qp2ypzRBi1b2ZLurZyRfdMZ2zx7XNdHHBrWQ8CnIOZ/TfmHgqgKj8qxCkQS
8sA9qwNE3zlm021pxzdQ+dstr2z+/nGaR1nmGPb7MCSgB5lYNGIJlKtl4lrt4yokgNlB83ve5Sr4
BOl1eeYZrt/NZnG7shbuzePkj0RmBdCRgKISAwgrVjHMVrgqQ9fLJFW43+aK2mtXV+nzkRD7+XFS
eJ/jDkopcKX7tFahGXXtPCjtZTLxeoigBecXbWnoLgts/2wR+XAmK0kBjffTSy7n9AplrvrQ0FY8
t9WS/wsxBHAR8G2YDUiYCxwqe2FLZosZbA0t/ZyMPcRRlLVfoBhy/yaldWAMsqapAqDU6HCJUwDa
Ng0uMIxrUJ+ckPH+sx7K+B9creoMjXA6aW1kgjsxv/CizjZuqcmLnBVRJ/pyo4Y2jHUvUx2bgk7P
h3neai1O9YVH7WrfMQA2Cbg+2T+/l/EtAJUM0oFM6LQMieepj8k80q3DhTrB8zFSlAKuj9keApYr
s8pTs2BtIHzR3LGdHka+Jb2jiQZ45+xx8R52fd/iE9gLDyWDFXaYWxxyFepOBcJBcTo3MF5kuWg+
hmiwz1jI6q0v5HjxOD12RJuQeyAgMgqwyDqlZouFBsG2oM0ey9jCVCpuCXEnEsCxEERhqisAS4LZ
0Br5kDWrSY+BivfYXPSzD65oDlhdgAYaDU2VxeFY0Oc1o80VnWdzIugfi7r3ya9M1lEj5TDtgz4H
3F6bXG11JepdPnMUV1AvxwAUlbt/QbIcUFhADQBzXQPafMpQG4AbgCZZmWjW6PMFqpcTVI6aJmfQ
RFIo/AHxPbSXoNB1xySwVmqkdqpxfIcyG0mZ8hNCPBpcwacAIAC0HMDNFalqgPqkgj4nqUINFhL0
gIOIYnRnurJJkxbLxpGp3Xp2Nla2e99z6W9gmI6WTQd47gmLOuonksG4APZfYEKy8v6ODXIcDEi3
nKDHRPPQP2c1DZ+bkvaJnUd7/i9o8x69VceD8qVxMOwH5vOwi/sxYxEBeidkfMwbARoUABoLqPn3
Sz/3Y1paT0FLEcRWo4P6FR7KLAnmHP0LvNynspLd2Mw1LnwHPi98vrNZK7em88XmcYkd83ko1Ol+
GM2hDV7xYhygl00APl/ofrhYZFYEUdWX84dpgfFZ1NKiB/QOeuZIDj3GO00me+IIe0ZWqQqGLUxK
WJ+Cv6ybQh2WNJ3qRiVuzuwzm1u/Tfu8ihuYor97nNsjIQaW52Cfh3EG+Pt69i5QOiAXtECKZM2H
SQ8u8oAZGdN2HwdIYVvdpmj7OM0j1gI0Oay8cmjToOc/tBbjliDQC9DMit4neVniC7ivdmp4dZQK
AXOECRnnDzKSnIT3y6BVYk3TJIq0X2hP9QnDPyo+WBmAL1iggBx7yIo21C4Cg6YKWssU8oKqNhQi
3gcvLXkB+HL1ci4xPUH1KGsAvSkQHlyi4CsBQiVORT4B1R6wieeAt7JnVX5ykkuOWCGHq2Z7bIZA
Z70KHYb4wtYBhtAxu2pXWTn8Prqi3aq89pddMI5vSk/9rm/QEAdoJruqI8u5IbriUdD3pyCpo6Lm
IoTtM9gcBHTzUNQT1qjlEppoAHfDJYIrmm5LZ9LvdLeMELrr+fnCKCz4PG6sR8JBCPOwH2T3UrpX
ruVFLgMommTCl9lsSDeldz7o5KYawz6ps75cIkmHMJoVX+LRqeIE/SOYFVzFBHgIw20Z2JokKzUU
xmWjbjOVDI2r3kGCs3WMBz7SSCsjb9TE58/eCL9E2Yjwm5Y07CbQMEaNxtrX7abzPEMAcUmYxjwu
GnxUNoBsAMQDV0lhlnoom1GMOXUYEACoX2FxxApURWTUwRV0y+qq0AF+7yzblWbUcUlSv+m5XaLB
iuWNnxm7M0P6QUqdxkFZsPM+zMotKlT5ohDFXES5SqcTENExx4ERHcwlIHTtVxQOD7xwHaiacZXA
tguNRSbzc5Sm4kSOP2apoQKkEbYCoI1SK431edPDxLMEjemJRl0xBy4KZTpvMc3cLmwWksVZG3h+
gu7DtMHAM/YAMcC2ULvtub9nqk2TlaUMoYtQuMviHJZ7NoPM9bYcuyx5XPUPURkgRWGwBItJ0GGs
NT+XXWBDWHhL0NzU12a2uIrKeXIO1pUUrTcVReWlHZGsP8pqcqc2xuje2Q8zJJgcge1umDBR2DPZ
W+Y9VufOLnWtsjSpbGpZXBV9dVcFFmoo2DZkV6UmYRYVFolLXjbOb8Q4vw5QDaNSQ01XRKzJvdiE
yNYqYYMv54gEtXSREd0yxCkfy2yH+ondFN51U+x8mo5byJDkSi1ZVUZEFsO8ySQaXkFpTl7ugckb
k02Bj7HXbbutGzOwqK1796IZS9OeqBAeGjJDBMAgWNwCcwWg+pD/EKbMpCmh3ap4MW9MK8tXA6Cc
P41bApX9Xgb4CiStdR3SWV7wLKwAexssTHUaH265n+4qUrsTOxLH7IkANxDe9nPZNXSrYM0wNBYo
wc5qdy5LSt4i6+mWdgOAfIGz/ReyjJs54PTUTOCoKBVAakpwsOivqPI9UyJjxeqaA2oMTR1uo9l1
ZgN5tdhRtMj36Zz1Oym6LsqUNNupgFQ4wKz6GQQ1vClrWBoLqvQl79L55eMudqRv2be30CXsN7fg
LysAajQccpyeAIBaDKcwdjLktYB10DcwB2JXjndZDbsRWN8uGQ2maBgVLE96BU4YOxdkfVwLu/w0
DghnYtC77Jv8/Wz50O6KVOShCBeZgFW2V7oc08jayX/GrG0T13uvo77OTm3QHAtscGkAWjeoh+Ha
6EoSA8nBCRmHktzXc5wR3myhj/qMHVYnQuhqVwdwDA6lBRFgClAUw1boisEhxSYMAelMeqT0hYJ9
5aijLnsF4cZeFqoobRTkM/kI/+xDvbUlt7u2UQyw4L58RXzd3aqe5Z87R9C1CFzfRtqw4kTwfZB2
92cEw4B1KPAVvMbn0iwL8g4W6JKea3dt+RDcpkOa3phK+DEyTZGjXSdy98XC0d4vxJvd46b5wGVW
B1iVYsPcqJyzJkis1bBunodv/ZSfQiEfhIQ9EWjAoLDGRMG+xqGplaPk5Qh5JilVcAmjvItK0yZ2
Ab0c+PRsZPwVN8OJ+mCv3YO0sqcJW7DQcwGuBH87pDn3rMtFUASJElBlRnNWZxD2xADdbL+DewjB
+8cFuVqM/cPclNpX2dCFsf2F2Pt5jAewwSgDmSYS2TTJbMaT0oROR0vJhi9uqvtPTRtyWO6rp2jp
YY9Q1Kea9wfetWcaCob9vgbcplr3MA7sLM94GyQFbMlGOQQ8mIAifmU7271+nN+jhnOP1Kr+ghln
BgszYDhN49hFKfNXvsb67HEix5SoYMYL/31d8FsRWSSbXBaUQUKIztNN4zuvItUrtEtrg353sOn+
5XGKDwo+6GZBSiEED1iXhOsMh1oMzLLAFlYfApqUmmdY6eW5NFK/1C4risjbUm8bz+sTYeAU1VWo
qtIxm/QyhMkUhu2Ww4LRF9Jn2bY34ZTArbnuMlhMeiJdPtQgZBdYCtxfEOKwI7ESbl95L1xO0oSV
hXzGUCMuMc70+eMCfej7QAV2U6DECaG4lCvWZggvypMpTXSIlyjMJ9i7zxlMbIvZiwiWbOtsV1fL
MkdtqYsT9vOw44J/GEfBxUEeAnaOoMQ8VGcVQMmoW54mS0jKK7Nvs+KpGfs3gppL0tc4bnTfnS8m
l69lX4U30KKhrYBZ/sWiDD1nvdIn6r1jAoFSDy5ZwW2A/bLk4ZG6ghdDM/RpUg6hgk2/tjpzkop3
6YDHNGak5c/7Rsx10hBfRo8rAxYj4NPXYRFuiXCIErDK+mAldMb1Alc0pmyT01E9y/ZbbXHmWm83
pewQgu4fqp9WdvxFmWFnIuhOHVwVKWaNwPGIKKF4CoYhqngv+K6xXUHhogzSv0O2z3+HAex1m9LQ
Rh0Mf9gmN/nAo7yiTROHadvDWLkNlmKTFi17n1sb5jtHWwmLGa0ZrnuUUhY1AZ5fMj6hF5YOVRGV
qB5sXAF80UahCXSV9EZNIoKxGexL25rCUlKHQPtRPUz0M9y2cF8a2L6/DH1lwk0lh/J3N/JmiBqY
8gLO7jx7TbulfTfACgzw0y39O15J9DydpGuiXodNGPWUw+9N6mGYtTRS67iBhfdbPzqSR1yMwRjB
PSBRwEWXlrkLiaZpjMZ0WPIYt3PnAAwvxrOw1j2PpVc19MCis9llwMkCa+xo6D+FQmVZInqPzmFV
xf7uYEm63IwdLWgiOtXmL4OZmLhWZaXeVHQZqmnTz/3QxIAlqWmKuQrOUJ+FsIPR2AH7pPP1IMlb
DLMiaIwk8Ff3iYJ1gX6Oed2lb4uMwoijUKh9g/NMKbyzctQ1DAbnoY0amvc53ImqZ73BeRXSGKWy
EgkXFg9RpnOYlAQ9kjejy6uPwwTDr7hEYa9jqpnzcIlGcai6bTWPUc0d9P0eF5WJsSzc3cQpetnB
QPounys5RkjUSMc6yDKTKLjB4N8ZVWfzVjR9Wp0Zwfop8h6NXeQcDIaSDgeiiAeroGzrFzO9xqYB
KAdrALOSznDoWknVSxJpOox+I+GOmr+A2lmNMIlgOo86tRCShDnNgk2RYdgGGr0Lviw92IDjEwZ4
hWXDNSAtA4CmlUxNNEPpEGxLnY5g6nQSV4p7z2Jt0UDivOU6GjqY4bRaGLjZlAfLZxgHyDJZqMxe
9RRiT4TzVF5PsM5oorF1TQ8dAIW9q4DX1fulyaA8mAaiX0B5qV6OS9+9hqWEro1833YAd5IGXy9d
X8JyNHHDvLfKebrs09aI7SwDDJ8PywRTZFBrqgg0J/JNyB36QMDZ3gLSM80bTgDRiX0mhvNiQGiK
St6yIYH6yH2CgfN0Q0MDHwTTQLhjGNSVp3AVb/KveZqh1zD4JB854IJ5VE5Vu0SL9cObRhvuNgCi
Tgy2glMhEmILlEW2Wzy4eKmKu5Gmy0U5AdQdGV3k1ykjbryguK4vqqAzzc5A1ldRy3M3JCgPZtgb
nPsSxuQZLIH3MCXMLpVh7lUwBPKjnyp+zY0c8zNR5nCBUacVT+pUkSrKoUt5zoLSu0g3Ut7ONswo
2N88ofMgEMRHsBtY1ola4LJSXMM80wMunrM2sogamywNZXf9WHl9PQU0K+IsL4P5TKAFq0hDT0cj
SVxbnOdD1XzoSdd8wGlG35kgX7II9cNURdLw8KMqs7mNFpJ2AF10mXZxXc8pYHdF1YwxII0Z5LiR
Q0020Hw3l3R+I1xFzgzPA7jGGVIfdf7CVrr45BZYJotwpcv3OUfFEuVdNUAA5nz4VE9Z9yaDVXkc
j0qM7/GoBT4TXC5yHxisiCtb5W9RJsRbUtrKbJkqnUmWuajdB0DNqEsmx3i1WYqcvHRFOrkdOEUK
py4osrfF0GsS1wtsVEd1WRj5rMiWYDxPGRZ0qwdApiJsHAy7Q5OObUSWVAZxF8CC0mbJdFVs4YJU
q2M0OnQhoErVkQD4PADcuUIfO1Z5e7awtsbRpIOxAIgLupyoFBNaEmnYohNnuxZHoiBwi6JBvBKR
6kb5cXIme8d4Botf3uRpGneThStmi0OBSapSaHTe5izL4o7AStVZVct5p0pRqhiug1T2DGtB35Fg
sumua8VQnxs5/T/2zm25Tpxr17fy34C6AIndyapa7ObO05vYie2cUE7ssEcgQAKufr24O+1p4k7y
pbu/Wgf/SaqycZgThDQ0NJ5nDI2nodzJ9VA4FONXlSR2NGhxlR0MaySbNO20L4ZYgEI2asVwVpqV
Ep6TI6L2h46p+H3Rk66+pAbOQTZ9OfcS4yWx8LdgTHOvkTi4C0qnUHcDBCK1N5lZ4fo6bTt9WzfA
495TQLDVY1/kSgWNM2a1V1ldc9AHV20SK7Pea6073zFEoDTEDMpmL6NxdmtRAaI3V0Ajzose6FJY
sLrOP8UEq46nG8CpUZHg4mBUG0rkaqk+aV4xN4Pr23ZKHiTp3Ap5GKQmgrLIxRjMRpp9RL3feD5X
uSreYWgrHqRJo29zPSOfBWPDsKNDzB80nJUUPkjjufZ6K04wd7i9O9N9NpRYBHhNeh0Tr6tYpFDg
Y4YowkQ1AViDvgjNyZpus6rXPxAax42fZAXmCYI45MHJ3OSMZYUwvLqosLRrrGc3iRWTu7ZjElt2
OmI/QDpJpd8jS9r7uSjSW1rbeuLzoqvfVygjMoKWS/0LaWX/pOg83YOXVnjxWpYf7FjYCBnqyZae
OzMbbxfRmsMskEmO6phPyaa0s3Jnmp01eWNds0skUsqPhp0a58KsjTGYJs7791Tk2bGvZyoCl8/t
eYd/FXs4nG2sUDPS4lNK9TT1s7yuTH+aJMI5y8nlk6ErLNaJFltneaM1HwcuBuKNml70oZx6AMgO
H81DX7tdv8uyue03rCmI4+tlbaDOZEC9ss9kivnTnWdTRABv2BVL6/E6rp1JbOwmc5pzOTPlBJZC
GhRh3ODaOFXAuPaAgPAWKynK2j3sguo0mICMxb5F5PRQ9HXdILSpSOdL3JcjsTlKom0OZhyoecml
3+bjPjaE8hWtnqhMx8xvWkaOJU3zIphxbGMqC3RzhiGE1QY5JLlJe14cSqdpnUhzVX7P8T72vhxI
mQW1aIbZL3tG7pxOx0to9mn3IKZpNH2JHbwZWqRx9jWnvPcE0UBX6iife6hHZ6PRsgfDjs/rVZVh
bHIutO5TNdqJFmZVaWQ+c6oY5xajuxCp2CCYftV2cYbF3573NFdcC/KZqIMgQ3qO2rG6CLTeZu/K
rPCQZpy5b5kM37oqcoTHrDWwlCijKUEESo7lm8cz71EDS9QErLmp25DyZDw4uaPFm5ygcCC0VaIP
Hmb+sQh007HDtuJt71tp1j6yahy+OFqLiKhOrOroArUxvURIlOGXU25pwKIcUvnYNgnqC2MWMQIi
ANheHCNR5+mtmQw+UM2i8RH5YjpzcXgPvt006y6cctyaZZNl/Chr/Xws8HojARAGBzD4dUkirqtT
K4FqznJKSQAmJQUihH1M48WCN4cJWSQvtia6pzLOcVJCiwvH7tWlOTttMJZZfJ1ZnOxIZ89bd0js
d9XsmkhMZ/GhFtL0TCnphkPHuslzZviq1jIEEQOK12fleHnRzdxr2vff3xq9kb8BXwqoGXyNBjnF
Gp9vZzmruNfiYKnb3+jWwHZMn3W/aZh5tNwh90s9zs8RYKfMH4FunXeDlf6gFurbBA7geWzosT9b
bu46UWyPrhJyLN2AGWXvKy0f3mGuQTheT+1/vjF/danVPpSQvm15jkxHV5N0mxZ6d02SUkd6oxKb
cgIoMTftDUN4fPv9O/1G3gGAD1gq06Eu4KJli3qSpbcqJhTOvV3sK4QRlkXRhgSqjR9ss9+8kyhn
xg4b1Y/OOrM6a3XhlHnuBiDEqtsK4qfOc0CwbZB1+yGl8/bFsJ1GmbYN98EqyeFiRWciQ/6G5SMP
BMchKSLPd+6EfdP3b963+3cMECQzvl5pdfN4JVJUn+Op4UBs3KZ2zLfONM4oPrRRuZs0yodYJb35
/kWXj79615HWRPUAGFK87M/HGydPzBxUnDbl4AYT4L9gMuwiyLTztDnT4/hHCNYy7L65FhAkHOPo
FiDi1RcUdcL7zq7cIG4N9qTczlQBNXt2zcdeC0qZ1TdpTcs7Y5j1zchN48P3v+sboxOpU3M5MNAh
nVqPG2XFCLsN5I2poewPbQms0aaZ/P047g+F0OXvX+h3I85njgU2S9I/5NF//vb/HL8aqZ/1xi9/
vuinX353IZ9EP4in/zk+NN3/YCl/fJZSr39mufKfP4QL//FJFmfQq998Yy/6avFZ/uXP/uUredEr
b9apvAiMqYGF6OT2L9d4ZTD6qnV8enYqLWqgP3/oq8XI/Q1FCTg3QH0dUvk4WPzTYgSf3nJireka
sExkFpe/+sNiBBkfPChLXQCyXDhZRkoez/mryAjObKTrMaDxs5BZoKroT+f3qycHa9Mfvz91GX3z
ciwg0gn0RF9PZ38JPcV96e4dI7Z/MAO8wca8Jp+Wyejkbfwr8skwuj5kpDEO/xX8aXnwpx/r7zBJ
30y3iyhhSSb/TlqtOVFkZ3+ZtHqLGznln9YQ4Yp/wpFB5RddpvszlUb0TELRWDcDu2j18BmH6sye
h3Su+Y/OM7+Z+ldM1DJznTz3/4iJMjg+okFlu30Go9hA2b6Z7DqykhmFj31Ztz+NSH37Qizmh6+I
FN7B15/zLUQq5RZSqrk1+z/BSX2TUAdxccpJrc4xVpxU3DLhp1SWIStN3Y+x24drKiObwWB9cDJZ
vfHqf7NWPF/5BZtavYnzr2FT3x5iLJc54aZWl3nhppJs4mcDVr5LVcLoZJOBnD9TVICo5qgdc9c/
QalQSBYMo6Z2P4NTvTEYnVOcajXrveBUSK3iqklPw7eYqqEl2YZr8AkwR94/w1VCxE1EZWd5M2b7
vdJbEjTjlFwNiHQ3339AbxReYBk4Ya1W78wLa2XJRg/43ElfpWrwc9egUW+YJsqEfh29emuknqJX
q5G6Qq9YPpTHmOYdlGLOFGZDX10nxtB5PwFgvX0jcC79lcBazc5/SWAJZrY+6YEHj0SO2xcWK4mR
5zDFdGs2Zv6Ds+M3B88Lj7WuVP5LHovO5ZfYFtiC6RPf/mAovDUtnYBZ66JT7cdglhwV6GAd2zvb
iJ2DaNJh2/Kp9buW8C2PcYiAo6zJ/1lY642VHaP1hdYylvt2MsO/cE1tj8LtTG8635zJ4D8TTo4G
cVpLyACWayTemnMaqmHcjw6y978KOp18sGVgn3ywfw8jW8t8kD36ZYzsjShiUXr8SW8tA+bkS/0d
euutsXdKb63u3wu95dhxHYpO7P9JgmtdivKvE1yrxeAXCa5vMzSYB08ZqtU6uEK4uHTcIHNpBiTu
3+O4VoPmv8NxrYbPv8NxPZeIn7wPf4PjekbCXm3ylyd5wnGtF8I/Oa4OfhDYbBzzQ+5UrVdJmW4a
xS/SLPvkpMXoz6bZekmmnb3QXdTBQVqqWfzjM99VQMyGzDYDdgmZ2W6gZoO0NnM//QTy9VbAR1G4
+BX5Wk3Qv4hgvTlbnFxl9bj/FbDsFMZajelfhLHe+lanV1nduxewLG9Vt3PrZvKe6TIUnup+Nzv6
j/bJy21aD7JT+ms1XazoL5S1y3sYvuKdIjNSu3UcdALFLycoGIqzsbg2mvtuIhpKTiRoH1SMWjiF
qMlFXfblAyuU+zOY2Bs3xz3FxFZ7pr/ExLhsyjMJ1dEPbs4b9+aUFVuToS+sGDWaZJ81iRH8O8DY
amz/S8DY6iq/Boy9tR6BO3khxlaz2AsxVrGi3sEMFW8Ez5xohY6pgVQbQ8ta/x/gx1aD/Nf4sbfm
a/AvSwb4d35s9e6u+DHmplYQW5U4PkNkUs2bpmTGLtPcegM5Cg8zM4/PnXqaIBkmfi9QywxIpgu7
WdtKVHClZmpv6ob2oTnD6p3FVNv8BGf29hM6Ib5WgckLaIZTTTgC9Ly7gHzCfJM4ayGXPkBKXW1+
sPFYSqhX8xBu3gt2ttqDvmBnbt0nn7DPTzcv2BmfimqrUKzid9LUjv8sf7Z6jP9F/uxbAxncM+YJ
f7a6SSv+zE6s+pApvdg9M2hE8DSiraj8ilTVpmxpuluRaCh6anbNCAYog2o9Gq1EO04oKvQHjEec
pBr6xb8Apa3G2y9CaW8O61MqbfXSr6i0Qa9x0jDIIliTaYzyZo+SnjGUKLP7wSZ+ucjrYf0aUVt9
138TUVsFKP84orZ8lfVXPUHU1vupF0SNypz2cHyUDz/E1DiL36t6uPj/GVVb5of1fThF1VYL3guq
xqoJ+GqFYkunsgHNWsY2LVMTnn6W7b4/fb41zE7BtdWc9TfAtTdS/WDkTsi11TBbkWtSKg2lIHl+
9oyvFUqwMCPyUGYavZkKbmyklebHn+HY3rzPJxzbCsp54dhGVPBG8dCzq2eWDcWZneeCR/R7RfqN
1XQq+kuqrba7LohRQn1gbCz9fwJrW0WtfwdrQ+0Kt33Iupro++Pl28j2Nda2Gi8vWFtMoKjVK60K
X7C2plfzTrCKHP8BtG115b+Bti339dV7CLTxpEpkfR6/Kt2wpC13pVWhAGip30DvCz1ILIWy6tpp
/ZKS8j+d+VeXX838f6dI5ZsN93Kpk1qR1Sv5i7Ui34yZ5SontSKr921VKwIVqfOZyIL9Xi9SzfEQ
FVmmBZOVjLffH63fzG7PV34p51jPqL9eOPJt0LC61OqpvVSONPmoH4juxn6NAgxvVT4ie9n6c94/
UNSV/uDdXJ7Waty+qiNZHUL8rTqSb0/NFpLrpJBkNTm9FJIAyeUXuexE+Hs1yWiPqW80ab97LikB
MkG2JJe9PxZmGqEcf9r8bHHJGwPtFV22egZ/TZfBeugRtFZ5/7OE2VuP/9WlVwH2CjFjOOY4T3s9
D184s85E7SUKGaeNauoqGnsyhd8f7dB3vjECULuPUg7QYLjI6lPE3JjHMmYOOIwE9p+4qNKLqTUZ
mA4Longwz5ShxxHQHhc13mibE8DrOV05UhvvJpQJ34EhgpEIQ9PezrWDCIRbKPL1UFo443B55jKD
qLTNMz8lskxCu0vafekaqY5qtoRD6li2EZhgEBFWB0wmalzVT35mTnm2mVsh0Ngi1rnPsH+Y/Z7U
eevX/UCa0ODirqngFsHJi6mKcGDJ5Ce26SbocpO36DfUKoZCagmUxteB72RB5/SgPylXZzoYJq8q
KDwRVdLQOoALsTzn/dzV0NGO1Y3maBkQ8N5ubopJjnaYJ8Jso0Yzm89G2cjLsmjixDetDgTWWBL7
Xgz5dAXpfpmGiSZzT2j8iDpycTRgAb7Ue4HC2IFZaI1ULBpdH0f+zYVVNxXz8lrwS1rRmALfmeUd
AIL+fkrsygAqINTlDBjmXeGgZsAztO4RpYFF6at5qnZUaCjHmocyD2RXl44H0D+HQX42M2zuZcpR
u09g4qgV2lQFDlPl9awSAoGFjtJt3QKPB5Rhto+EaPWnURvdd3NNgWu0GeonfAuWAoniY3CANk5p
5yidlGb5nOXpBXELiRZh4Aiu1WSDlXBR56aHY2canVeS/GhB2/J5ysr0gRdFde2iYvpdI1FfjjSj
akq/L0DCeoUqi7vEmI96RWTlJzB4vDNGlt6iy5h1I3jpfKhLo3P9gU418YDp5GOQEGKXm3buaea5
IOjCoS2Huy7FF/A4c0oTcJFV3HSoHk09B/rMPeUF5V6S5O5eDvNnlU76gy1qWaFviQ0FpiEsfluY
vQIeYtIEmsSEzXZoOUiI72VrGU/tYLY20DpFBB74oQQSGJYu6DwYuGGvA4EBWwR0AQMHOoKBhCpf
MUIDjIr729wa3cbLFGAGoGYNPpSoK/FJS2PtsdR6/ZrIufqC6Q7FxJMzlfsG6jvqodp/ugAYN0wR
lxhtpRuToz7lc4pxkgGboVohto60uRNWVQ6uA/2ToE2gtGt7uPFt+i6jUzmiorTnC3JNp5ul53ft
kaK7olMzLqn8DhwTCDCn8htAmBP8zTW90enUEw96rHgKZpEmlzS17QYnO5m+S6w2m4OOtxJqDwwQ
nMLWlG6nQS+fEovTB0HAPnRzvyBQ8H3ddbJty61m8O7sv88kaO7sXI5EI7f/LpcAqIrgsbIJNfCv
4YQcT5AdBbXmz28TCjyZbdcv9FRuIUN0fKBKzfHvsQoxUy561jHpomVeQsdNBolTG55iCzFLkHkr
R6pLuM5VE7SWRKn78wrzv3WVf5RNLiWSgIY1qFyxvfjr1pBnPH84rcV8+ZmXukrIkC00F1hcf9BP
IFb7ozsk6ipxFAEBKBwdS1XlUvr/ta6SohcokIXFvLPw8a/KKtlvNio00TECfk0dxknN/U/KKpfO
A98EC6jSRGukpfkU1GjPCMLJgWRhZTnVBycJW8o/mWjtt0kKNBusTHltTMmtDW1KaNcVJkCokvwG
pr9dlpixX9Q13wqmf4rBzx9owm/RyiCJ+FBpG6nKCf2dwAo5bZZf2IX7hA6MQWdMWO5zNBmEH6zx
Jotu0Y5ngAKrrrbDVKfnWOKyTWMm6EMJQC+VIl74lyxA9juAyr/ztZaIKO0GLeoyxCXocKH2FeYC
Iy2/2GVfeagSHx9c0FWBmAiPjKHILpmAx04MXbFD/qTBJl0kaLFB0SEPHQR2bTo0AcjicQPIK7/h
gz1HHcgSMLraRujsjI5OjPZDaD2GVJ8WiEpcEl7eG6z7xMUoNlKA7ZqdnPudTe/HsXeiLmc7PtnT
PbHKNGoHrQuSUelAN5ocO+X4oz2RK4lVAbID2XltPz0qhvMnogrhu1UMd0fpkVJcEFZdwhlQeGOM
wjrkAvR9iSaUfl07VqiWDnESLSc3VV7yD401fmSlrY4tbbWgA4u/oVWKKghHPSHozg8p2iGetd3w
2KWdGYgOTCWYLyTFc9sKAFARSPzZ50KvrxuBhmSiYPi7ar7Jmz73SdcmHsrAjCCWc+GTOI6veYnH
ONd25mW6JkNhDONWx7GEh16PdyrJGSQ7WPgcRYstDlwHHwaBA+zkRYSS8tu2JKkXT21YyLS7GhJl
RX0y3mWFdYewyfSxcE4o0xIP0KSBSGExSFbijmgSoqc+KSszclhZ7eoaqpN8eJx5KrxZaW44CasM
m9gtQ2ukX7oRwjVD458RrsV+AhzP0+KEBe1Q0zB37Md4HAYP1eXoyFnX760W8XDRxtif9dBXlm3m
z/Z0y+I0EiqTWyNR12mrYdZHa8sKvQd8aagGwShXXu7q58VsmODNNZDxNYJDjZWRLCRMeLy4Ke0y
Q2dOtsUxfO5XMz1jvTN7Qic3vdHuc7MZvaSdPsPg8tgbQ7VxkQHz7LZCQ81acuDR5AnIzj2RNii3
Xl7Vs3FEsBr1Ut6CxHT8aZjuSowbNuhxVNvzLeL5Dwg67wuXhGmtXRetdUNVQdDMJjE8wZprp4FO
Um+3xNFzP80tH1BrBFT8aczKCz0dLmtkOdI22ZZtmW97nA8ksv1IVQkuemg+NyZwfocXX6ap/wCE
YUD/B/jaCuImQe+oazoMV2ZLGy93xjNekZ3TNUM0sMqJ8H8b4g7muXsAQxsLrKDXFwpdp4zW2cYF
7T0nJXEIGNkOmW5fw+fLPCvJDtym49JFBbBdxqpQS8FCydGpPPRqvSSpA+/Cu7Te9wW6YWVtp/zR
sc4QygU1aaAie2LOZ5BBl1QhgJqmggEzt9MAcgtsMGLtAooLj3fpe5MSDepAzfGglbpD+4DWy5oW
s0YcSkkOCPnRvirJNnacAuu1Oz0kdv+Yx2DIWjY+9MpVEVejDM0itkNiLf7hJAYn2IyXsbsZ9Oyj
aQAETGN67SQj9Y1+2IMmxTuS0d3UQtnQjZfC0e7cRoKry+7TPL3qGSwGJMMbaQF0jUkfzqJaUH+b
gCjq4Nmv7dSTeXM2SrMMFLZ9WsLObRNKxC6HOsGSlblxKHg3uBrOqLjn7RcnYRvKsh5vM49IJaNF
mwEa8TOrmnMtozeQBObAREnhN1Wfho4BMhcR431uWrWHhrOo6ct1lDtXM3T+yVmZguLOhqsEiOZ2
wpyMF3m+rmnFfJnIh9RO7tJmSvx5MCwPzvDpWIvFMkdR9+0cpxay4dq9SqXxvqDN/EF37pBBQN85
lo5XJTplnLkOavQafAwQghoLxUxviho4cDM3IbPlRY4Xvsx9R4/Gbt50UH/Jtvg0MRkOVbdPBw2U
fZPEHqShOx28pjv3AdWw10x3ZGltYWRy0VafQwwRFLN1buW5l2ESRsfbas+yzu9Y79uj8WG0BgCT
U8DiI56cn6Fr5q6fyB4iPA9P16vqyGjzo2vvR/7ZsR4J2jo6Y/ORu1ZYtx9yE91QkzrUUPI48A6L
bw3Cfsdc8O4cwjwMCgwDKLEqdmu3H4wSY3TCz3B17cx3szI+xvkZN4QXA4PGw9ob+tbmc8TxjfVi
D6sHbALHvLmzm3o/tB5p0HNX2btxvEyyxzrbWCXZCCEwiA6DQ9OwM4D+2xRADnCRTZ300ThcF7OW
hA1ai3ks7yOpO5cpzDIeuhJV4SjjR5EC6YsFfrIvR4bdPfuST9PnpCfcrzh2hA4T25wPO/jk31sa
bgfFaqiRJIKjA/OAuKuNDhyHq/lt4tyZQ4nev+oyp1cTwY0wqjokRof8K48DBxybb7EJLXcTA2vu
MHo1Wpf42gz0d64rCiem9JrpczekoEJttNrI2yNohrPSYufGZKBHMdoKIlKATuURopY9zD1npqEg
AkpubJFhBiuHYl+C3MPyBBJBapEB0YABpZQYizBrinfDKH2ju4OL4MxNusSjZXdHCipg4o8f6FBs
ejQdCpuRPOaFC09GvLPwUqrO8ArkxWJ9vrDneo9+3JWXQPFJ+sumRls6JDGQLqn0pxoDuzPUzjBL
RAZqDHTsO9GO7xEiw2EL49pmgIc7Hcyw5WyfOf11MsNTPxZerGW7vHaNENI9vCFuMwSDTAp/6ttz
636Q0qtzJ5qcXKAnXfKZmvzSFfFFSks0FKityrMqfta66V467RZd7nbwjSPRs0hLcmp2mAO0ETIO
DcuS8gkbzxzZHgEXhdNUBW2c3jdw19c8HX2VLYw6s0K9t2tPFLt5CfomzOGc8S30ghr6QXVo9wUe
2aONdWE1Cu8BiXp7EVr0MOna+XBjOdXWQHtHPYWWqkI86imzPTojytmKWttXfffgzOJMK2aPEXVW
Q9XvxAWU0+gwbvVhARNJDSUkemB1m7KjmGjSd7AmnpMUI6WrDo0LCNTB/4mdlRhRldzt1QA1bcZa
PxuzKkLf6W4zVByrTWofBpVCGaLulY3pxlb5RmL2QO0GDZiOtBeWC7DDRnaj2Vjq+3NT77Ctlgeb
NbftYCOv06e9hxMTIxTNnCPXks5ebpQPIgUMGrvKDCFTss/QAQAvq5nh/be6zyyu0ZFdi49pPUVY
6CDXSNGjlSCJ5GVTPviNY+9rJ77JbUxbJuKHsDFjC/LOgoZpW+tbtB5zfcxsgJknLG95nm+0CpeA
LjnIrDOjSpD9sqLZ0qVvjUg6GbRyPMWE2DkzvP022pT7dgFdgdvAszGr9wRWFvxnmMTjrCUwsvUJ
/CU8/iAb7cDsBpdDiR9CDDQNHUTSeQOUoYE+Sv2hUDq+a5HooZagi1mJucdK+4/QNBmHjDgRR7N1
ZvODaiHE1VC2oc218tg8QEQSt82l0ZmHahpDXUu3bmruzFSD2wIB/gXUnPwyhluxNfG8VN9se45G
opWySh9BL74GvUdnxggjBt2jnN7y8ymZjqICJO3wx8xWhwbbBh6ndcAdfOPRYFBXxuW+MoezJqFs
V+us8LShPWqTBn/klBc+zYdPVgLhhizltjCyB/gLGryy5WWHriuYEvGWU+RlJmpKeLnqFu1fUtz/
yUTaLItalX1El7fzNHGPIoFFwlRT2KvmkmAvI2HeCJ1Jd6OuS3GbuAWG3XmycvrOtKajVqnINPMh
bMBJA6esrw10d49MBNBBldNkKy1bYgovMV1CJxFBqLMYGgB3A5BGGmjM0bHEkNAzVM3HRBW3lo4c
rx5bYdE7sNP2+pkps+mAgXmcp672y0b/4Iik8o16eD/1FYdOJL81jOHJdDj1NL0niHKsMmigcfOI
6HcSqL6vWucgk/q9q9dnY9/uHUJ3adPfmZUW+67QjzCyXE6TcSWGrPQ6IvbuXEaYUSevcOAHQBKu
xNqb9XAfYJuHfq9wL2WZ5cVtf67ZRdQ7xWPMtTEEWb2PR8s5ML2dfcmHO10gSseslwRJ9YXX6F8y
y3yZ7fOtarN3QvGPMK2e6S7WJJhjPkpqyxBtCc9ZrV9bKQxEKjc+THZ6hEMbQDU6nokZpxnFkabI
+hWcIIzAuqbiEhYXiUoYBzI9KpDO/WxZw71s0Zhd9Q92h3hioF8IqmUC2Hh2o4IsxJZuiPkgUDS+
0puPKgevUpa5h4z4FCFLcVROtYOzC9NB71w0abKHQuud1hf3kG/Ay4Bu8Gg0KrQw75HpcQx56yRp
0MdjaMv6HTICcE7ZWXxD0h5WJbZYA2ycQCDQLzXJD21s7pG4JTDHWNyFQBbMuGC8CzMlHtxeQyNb
vBXwtfcQYI0kNCZSbvQY7dxLPd9qaZSm6B+JuDBp072eyz2jWQL3D9qVokEUJuyrmt/AY6vQpsdp
wE2os3ZsYSPgRz2dzuHKQuieozFStS3yHFlMwRGFlxVWuxwNDs0a03J+h20wxB0XVJJgpvrRZGfV
vDcFDdCri51nDYzFFjkfx/zc5dmn3ohvOzWeqd7wY0tcJ21VHbPKunOgB/GhZTnMmfiECaP2O62B
hK7xM/lgzNi4m1oJj8xDOhpn9VQyFLG5X8wGKejB0od9h520ZlwhA7e1jCzgRPhcGNhoYb+C5aDO
0MfBbB9bo7uo1HyDWAjqKWLAcTBedqN+tId0M5kkjpwJz1NyfSOTKwv/iCv9GrqkjWki3ieBRrBh
ypCrNqtsjxrvJxyJQExihDldnLpzYAI1pG6yxYag8N2aWkGiO8e4EDwSZXJT5907FOJdFY22q5aY
v5XDBTpDie5ji3wLjlM0aN2S6XGIzY+KQErqIHkwiPoiVjmszqa4ECbFvKZfKGRdGtGobeNi7BRL
4w+4WxK32cDTfGagaXhkjdepUQZukT+RAenIEn7XfnhXJrazafP6ydU3k4NQT4MdLhV+zrh7lbfY
rimO89Geak9DN4ZEg14F6wiWrPflrC5j9YUswi0DXVs9CzZwHBM82VofmSLxyvQ6abpodm2Alk4/
+txp2DbNyo81VjwIEqGxK742i/vfxOdJ4hNsuAkG9nt5z/87Dw/TaeLzz5/5mvd0fmMGNZfWx5DC
onMkzvr/yHva7m+wYEJ+j19hNjddHE5+zXsav6GBCHKiyH3iGN2BB+YUJ0cCFVZw8JA2ZL4MLRK/
QvWXv59+/y4CeBsnt58dH69OyXEhZsLOCA8p8qjacop+kvbscrS1Qe4LfSSNL5WC/DxGwI66dOYc
YnQq8Dq3tDyFvWqAlRshOZxiyLm3OAVrhvfwHN322CV7sVlVEYra8oOOgCdq6fKKlFPE0O1h0+Bg
AOIunFR5Oinqa87b21mUIjBmKNIJEkjXGWF4a1ESa/SztenaogprI3uPw6HeMwbX3dluUQVyLvH2
IAK7RXbVRjClV5FKO+zISLe8rIhrRznui8waN8JA8lQ4NPZThQDaNCAnhCLs0A7jvdUKigrgBi44
CgGXPkjX4wbiKNfM0K+0iN0DjsasTcH7PhBaKqJk4gV2LdnoN+Z87wwp99uqaLcIi4ZbzjFn1AOY
ggx5242mmgfEUE3E9UwEVM6ZV3RyN7kc+c0aIkApLnWLVB5SvvayCNmRBbdNUAntXCPVtRP3TYg2
M+JMkXg4ZOgzHbqqQwRXxjJ0WWIi8kUbwdxEuRYyw7ep2RaeBamcVw7iSuMcdc7qCfbhTxo8r76D
PiJ+qcRnhva6SNhUj6NyEZOjCiBKLHZZTEUWml35voa8xB/0kXxKtPpadcBX3SVJ3WViviI5zQ6i
LJ/yPEm2Sd4OWzgdET3lNvO6jqWhOxafaWIm28mZr6q64VGbMP2MxdDeK5HcJmgsEAzZ/FRZZfLB
SJj0APGO/jDjwBd6mnJP8KJcKtNG7Jh0nW+JofrE9fJmFv11i6562O3WA0boAEMjejCZIRxdHAff
UxHRublvR7kdcECKk0MGs2aOdESM6XgQWr9jZU8PSx+uwDaFE1loIOxjTWdYSdsl+oOC7v+xdybJ
dVvpnt9KRs3hwEGPQU2A2/Hey74RyQmCIiX0fY/d1AJqUGvIjdXvUHaKpGzp+cUbOiMyIm2nfDvg
4Pv+ratfue4wn9tGehlFeXoFHHq03ekyXdxmjSgY2NlRPLuYqkO3cMnYlaZ4dQN2hr/kIUiXy87l
OwvrhoWRP+SrbkadQjL2F0NkTJs0ACosjFDsy1A5rdJg53JRPJdJF190Yz1c1yQtnmfsnKvI0b72
xGRtOoDIlbDHe/KpwlVKYNa9bqXG2nS6cw3mke020FhIyzutytkI0/R8pv4YacFJ1xXKlizBak05
wcaY+HZSKkm8xY3tLW3qyXqsymATBCMIZLY8x4XuEKOlbmLhVCsC049pOR6WQX0sK8LLanWaV3RT
u37c5QHpU+HnjGYVH8vq6VABFlSFsa614K7Jh+uGHmlyuubMM6h72M51MmyUYCZ+r0kf+4GNk3vu
2E5AREIpNv0oKhKqyh1VzUeKmgeSP2f2oTk8ZHSekm9Yez25Zl7XBwkbfLusxTIYp5ObBJ6DhsZr
miz3mtA66zpIiLwxLmUyDeiVPa2DwAm9PEhHvy1U504UbrROtLylB9o8ikpVLjvysvcVFOpehHHp
0Zt4Q84pzoHKulPb5HTJC19LQ4u695bIxlmByUaGwUo6KOywWnlpdmq9y7NAlZiJviealJ0JODul
AtkT6nJGaGdG9OjiEJ+1XI4mCaiRmRzKziovyOsjCZUM363dLMJTLDbW2VKUHYXC125df8qTnMQ6
u+WHKnXmHJLLzmxRbJO4E37iNM1pG97HCVfQgjylsAJYqg51SY+N149c9b5LysWr0zImnJDGOwJd
hZwvYi9zrXu9S/Zkq7gbK4WXihIge+DLozVDO7TNcjso9SPb6pdai7+qBCB4YWqXm7i1CBCMW/ZJ
N568uic9aliCz0DcX4M0WC5YSDmURe3uCLaiHbc8sQfiPMtFLBcsttm2nwP9GCZiRwghBG29VOho
nN53sYDbhf7VTP2uO5ASvSLV63pqhhN6PQg8WjpWOqMjwncSBmn5EUi8i4pmCY+Dw745VoSDdSgs
ti6ZgH7eO/19EEx7S4zszbG5izRQ48C2HqoU7NIdz4DSToyheAiG4Sgy+T7InCVC1U1PrSFZ5V0X
ERg9bQalexhLZauMhvCSOnwayRmIs2QbUebi5Q56iWEeTntOTPQMBHYGptiOhuzSrYW2Dbg066Ty
A2V8YWhE46H1dJQfJntvhJWfJNnXZFRq8M/wgmedhQHceRacYypuhGNdu85p1I0MfQnL9KCnXmVf
JDw96MwZlMqfhvMitRyvU9waIOdsDlYDMFccFJvIICh1P/Qs/szP+eA3ejGsWWEPs0lNuk78qQjv
3HRdwZmdEGXH813GpYF+ipHY1Vx7WUgoNx3eVAqQeRImWbrT0sc0DHxBauZa4wcbkhElSJKw9zgt
kQu4VGz4MishUX3QELYkF8ZUPhYlaXeVYh2bRDk2mvpSJFa1bex+rRH82bqCqmXuzKnUnyOjpaI1
vs5a/ruIS8JSfVoVLgrKVjrIz1LZN5wNbXuFhTOrJ98UGWzUEtXrReFg6oL4YbLFvB7zdvEKsRyN
rLK30/hZNWVY8fmoH2Skc+O2dwPqI2IBd7W+rFN33DWiAsa2bU8JtM2oEhTZse2rcdKtwBNyMDul
Pp2t2vCCZbyuI3GN7M3x5tyq9sRDao9F2D6Eekr/W4X0wbgMSlSeEZ4+Im/HaqsUxl5h7Qmmr2Np
ra2R+NFy3isUxmVMW818EaQQo27dLNyw05PQUN/AP6FcAg92wgPULVqmQE+3PeKydbgYa7qBDnEF
BkRS5hp6d1hBRqCZce3lvLCtmXMfPiOwu2q/dO55G1UF1KeSeWmcJ1snz3M/6ZWdnos9NMmerprI
66LlIp/7q9yNQf8vq4bG0zZHdnPnlBzw1djuhiV6UuNKchR3iTvOq8JmP9JssiXV7EC90J2etqWX
q/UVebfFpWrkoWcln0g89OYl33fyS6w+h8AYanxDG+Nd2U20tlirFHSPqraeT0cWclVYLpUGI9J4
9Rq2EBGbpLyUCPJrkTTY6LjT2gzjQ2pRwKHDlZmSNGPTDdb5ZBExK2Znhyis8Ap3erEH7Rjlul/m
8NUc/BCdzoYimX5TahgVIeoMydhpUHctFF4iuTyearQwzUHnzWVz17cowKpdKck/FRZwCTkLKd9l
hwQwl0RhCGNoU9iqwvJ1eXLewCimlrEJAR5oCE78tq52NtyjshTXVBNpniZpyQR+MqO4JYGvVKz8
gaKiuxwe02icYJPCbNJLcN+GoYuVa/ikBummaY1Tq58ucQaSM+4WD9C0X/VKK7e6W8O1SAq1lWRq
DKuqwAvEkmZt4VsVh1hYScAywx5J8eZwhJutnCDaCtjaXtK2nSRwHUnl1up8TCS5q0QMrBV0b9O1
ME4cr1JpZjIAqc9cYtfAecNOhy/WC/GpiuSDGyI5kZSyKcnlRUlvJ0k3/6PKaeLn7sOiyWLJNvnX
ohw/ipmOm6el/NM/+H1D1WX6HUiAZSGVtdCEf99QSTChRUVGQ9LVLv/RHxuq+I1QLILBXDL6wB2Q
9XzfUNleLfl3ZQ+DXKFd8+9sqMZrXeDbDdWkmYw9mawSiXAI+TbebqhLqhtTHwudRyf7C9ZtImx4
Sl3mbTN/tYcIGcNS1vu4NS6yyu0+zRmX9dhz7E0K7NQSF842EXay1USogLEt5Bda1aUSaSoERVat
oym4Y6Y4QXx5N0dVvW8UKUJURANtpjs7UkJSLxVOeWcFs7OJS1NZEwkbeDQ6GF6tu51fxeKzAEAk
+55IFCPvdr2dfS2M7NxWJ47mKNwtpXtbkozrV8iA9lkWMrbP48iBp00bpTSIpzepsWud67hzzmqi
cnivAfNBoCXrxOhPI9Ebh0CI4iSksZ7FEepCs6rzcA5vCx68F31NDx4sebHuM5BiTYPiLOlw8cpo
mb1BcyNygQWK3ohdm819cAwwx7g/LfLpxZFipyDrkchawa7hQKPNLKm9JNY+N+n43Ca56lX5+GVo
mctEPt2Xk7Exoir2+yRRvWhRYl+YQNKdwlawNGG5060ecKy/oCC7Z9gmyXoaSaiDMKlXtQBVr1Xo
UDo50OlmZb0mdeGWXtbHbIzjsy5hx+0Cp8Tr7KSM/wMkDbOHz1wqPFEu0UFjcFlrC9ppXUwvFTVK
HoHh6sqyYx4KIihxpoD5zVXwGKdlsu2XeFeW8wYxOPthbYw8g2z3fJy6jsD5iWgiF5qYh/uI1Nis
Nm1h3Y7BFODtLOZVWCuar8pQ8cniEqSIxovLbvDnpUi2Y93l/pQYj3FZJZ4zuc4qd6Jq3Vg8atCX
VzxjhMsCq8OdUrrgw3O3Psnl42bp4vlcwF14du9EJ5kyEckb8G8J6aE7Qd2lwYtBwSphQ1ZyTtFq
jUoLNeYCgdGrfOH1SIqj/hQ28AvBNHwN0+wSLDD08BKuByM/Q3pf8kUVILXOdFsu5UWszk9kHEva
pzvJouEWwMmCxbJPCK22yIga7gZLe4TOQLtkAlYGDpUTYQaHNcSd+YnLZbmfI7X9Etlohsc6+BwG
6pVgKPbHPjzQZ5H6askAyQN4OwYGOcbpXOxsmqXWAT63fRamuj9NVb1hfVBPqdcwdzk52r6jkJaP
SGRbmOqw4fPOBBGN7qrWHQNsQeEHJYjU71oZmxm65tFooBjmdnHPEPTCjoRGum3brl7TZYXJ2YjZ
dZyyRvbtZBelG42yR2KixXE5LgiQ/WQyL5awZqdr0hAGQ6ePJ+pZwebhTjHq5LouVOHxIE1exroE
e27i7tQUxXMYBoo3uvUB/nXedtrIOdGUKryBcsI6moIxOF9J0feqmfBQb568GGE63GqZLsWp2Zhn
Gq70yyTv41MzUc0TWwTami60K5BBtGS63a6yhVIep1PEvrPS2k/n8n50mz0aJ31dirrcWjLbXiiK
6dlGt88J4EaO1BnMGxm7jPIF4iWHDQkfso76tanjrguWLdBxiinnIEjZ3rCX7KA6U79WjNugUQAV
HJCmbr5SnKneVYyrO3tE5zBr8WOp2/UuTIXh1wWjNz/0Lq7arZU2cNWqe5N3fejHqdqiwOfgcvQH
fXGPSj1us25EHj8jhLdgXLehkQ0o0LpD2FKnYbX6vNFbeNmGTcCTXQIHO1d7BJgzfxk3V6WkaXul
7HaEY3TbuukKny9nVw2ttjKt6DQZM2sLZxt5E1GE4Dx0Y0TBNnOXS0wFbDFkTvFTGNdNV94trbMa
hybxqIXp2Kin4TSwtYsg4zPRGTejWA4PQx8jUtDCfl2PzkleWWCKOmK/I+HN+Przfteyr9uaO3AI
ho6vO1O+igPU2DV4YdTYZ3FYhQgYleMClUdJSnBiZ+swYy/C30pifv+56Ri63dZALDM2FNMWrO1D
tRs0ajOAUFdqHm8jWuM2uZ0ehApqNtBhZGk3cZk+5JE6AJslm4i6ixYmxWlqnxW081wAQc8kCXFX
COGPTMNmAiEUx1SuoUKNInUtY2xW+ujeB3Xa7UtEbL5dCPPzqJn5yWCUxbHEBlCWMrcuDF5oI4Xn
1qlPmzq/1rSTJCn3fSmu4z5E+hTUpN3ZPeUitt+hnVnZITHj1O09hhK0Ea1de4Y25jcL4n5fpWhi
x6XyYOY2VFbSnWdxcRa2dbNGo/QcLWWJntCJLmgHOjPLWL1JjY7U/xBNBkmTvt4y/qbReG+PNThM
V4pzAGNS/io2fnJ9Gs8YU3eH47M/yRXV8jgaeBzM6GaAFh8tA2menSJC1bsJz6ZtrLrZult4AHp5
Hz0FJeIEFveDM+bESsRKeCzVcZe08z60KiX2kCjBG9UxWemKaX4qqPm7zBcMFlOoPWgRUrumix5V
XQSZZ5qDshNlPiL31b+GdcZIHdJnZLf1NSc7dda1y7KjB91JnotLBzCxkqjinIrLNsTVUy6Z8c0c
9Q+D84bB+V2GjtD7J1Py07//31PzdkL+/qe+j8gMtC47MhHiqvqa/Pt9RKYg3MQea+gWpWPGOxJH
E5YqnZ6uJIBQq78dkQmkskz+GVIuA4Tf/jsjMl1eH7XrxMrZbLNE4zMlI2L/MCIzI/ezMZqrcUyL
bdcKBAeaoyBaHq4rIFm4/jXlWT3P6RaBAfNZniWfwamR6EhEF16X+cagPkYF7s2AfZFTHBOJAxdZ
aTyV+RBs6onbBcjZprACGNmUgHIHssxdXK0np1e2LahzXevrCRS6H6k+ZWS5M5pE94MGf4Ywh3NN
gteJhLFjTD8rFWSbR7CFkoi1lo6/r3TfxKtKAuGT0IZrxODxRaW21XM3KbsK3LyUAHrbM+OTmzht
KBNmwAQhpvNGd/0Q1GcXtcz9k7yf6Nbr1li8qDbmZhvkXRfJ+6/hRtTkHWm93puvt+ngJo/5NI5I
LDTQfJpVSnlXY7k3P4Ujh/Qg73kjNulzSDkIKg4EekqAzujm8ScOC0WeGgXHhyrPkZ4DZeBgIT4Y
NsuhbWs2LfgAjp8yiMHm5ImkpROYxxT1yOQdZzfKk0uVZxhrvunp8lwjhKRG+NPdL2qv3jfy9KuA
AzN5HlryZKw4InliRxexPDVbUT5H8hzFH3emcrC6k6A3kaMWB2u8k9YqH5FffqPJExkPVILA3H4s
OhCNXp7b6G39iYNclSc6oiqEBxzyw5zv0QGcuEZL1K95xW7FWFHaL5V8PpToSUf5xJjks8ORT5FK
Pk8U+WTh6xm3qOSuh2WJ+f9GgqeK0qnbrqoCBm+gVtPUuwM2kXHlVKPlNxGA+1JqNyqtuZGo9T3N
WhnfKHJn2wn3XVy2+zqvDw4FlIeq0dCEGJXgB1tAa5uw2BVWPTG/8wGsL1M+7gz8YxiPvhhhpBLd
1sZbrbTVTWga03qyLc13evMJ8eahidVdLU5yi3y4sORqsS7mOiwPSdBTAaMAlWmGg6I1crZGdN2n
F21C/aa9qWzt3EzLlTHPla93geZZZAGPcfugOM0uipQz2w1SX8sU08/wSdbFOa5DBBw035aU8GCU
Y7y2vV4PV4sxPLkT9XjlRaO416JvVqQaAddSCGSD0oa+FtLSIoKLxA2ICpuiNej0VWuL46y2qh+E
UQuDcjD7L46JhLlfHuIq89yZ5tcgeuEpe2xCs+GiiE/Uub3KO2u5SNX0qPcjngUjVtfj5JBmU0Ef
KmRRnKWKMfmqJmUIVhK0jqcUJsSh5csN1lrMXStCVF0tI3w3bFJFOYnixjy6Snzo5kQ5KBAbN6Eq
nqvGVPlX6DcBAGnXJZ/0Cd2qa0JvuNnzYt1WU3oqem2bmvgXZG1LPWk3s558VnJtnbbGShjFYYyX
tVrx4vq64yaa0nmN/uzUjU22Q22ld/qKwzfy1QrSla/gZG4I4E3BT3tV2XdOsbXNIVhXbu5uY3M4
1SeNW7EKv2iMsrdNudxgkHFuTMmHCMmMJAgpU6iSJLEQOdZCrBLJo1SSUYkobAKl1e87ybYImuYo
UIaBqbNi8CJIGYf6IcnRxJKtQbS1dSR/E0omJ5CcTibZHQeap4DumSTvE0gGyJJckC5ZoVTyQ4Vk
ikJJGSl8jroSl7Zkk6yuzlYUyp0lkmka3OjWltyTI1kozYwE8l70q6rkqIRkqybJWykTDJYluayx
zpHlOsPV0udXgeS8bMgvTbJgrrqke5NWNaT4inIZAcnHkjVTJX/WSCaNXrSRpkXJcEmerc9QgWVQ
b1Hj5isFPVItWTnHNWdvlEyd+srZSfaulccObie8rDGUQdapsILx02SXhp/AAVpavsshWjnNoAcb
yRPCF3aSOEyd/DGQVOIkScV/oMOP0OG3+UZG3f71VHT6VDx9/vf//XEskn/sj7HI/U02vGsC0s0W
js2Y9YelT/ymAh25yFs0qHaa9f4DHKq/EWjJrUepiIYPUPCk+D4Vid+klU/WDUiPuCMten9D2sLo
9Sb+wZTQo7TzUa/Be0GM/SH+oVfcOc2qVKzMColXEvUpzEE8+G++l98FNX/dx/DtVbAmUuontTrM
cu8nr7IMzVnJA3Vl2G3Eg2Wqt+WQN0enCJQzeMbW+/nrvc90+PZ6fOm0HaouIID9IdNhcSIa3zFY
rpZo4OkRFKoHtZYcFeo8vbRSoIDGRls5i/WrSGv5Sb7DsN9emfmS7gvZ+MwP+/6TKtNkFsUA/lPG
JQaUQcmgXMYEKxHq0sWt3V98s1xZb16Pygw8h4ZsP8LlSXirKf/5G2GSq9C1i9XRRroPkDcWUfFC
FLbGWJCUh7ZVwAIqq/TR40ZbPYtffv49GzI/5/vH5eUN4VDcQS+SQ4QBEOP7lxeqInSgN3tlWe1Z
1hXrqFOvBhp+HAsjX8qBbTz3y5Yn3CYwvrSj6vXpZ7e60rGnGYAsbiXWTX9TFHtiPgrt4Oh3eAOS
6o6yznhqvbSf/dE89M5+sW5G2kszikLHuzbx1akE730wh2itO0BrFIUluwTDXY+5azgEaNIbpMFO
e53Y37ZC2lr+XA72/jeWH1pT1Ve/rWuRnirVb2+/8ymXmXZ6jE0w3yZYmQpaH8en2tJ/cRW/vzd/
fx2ODu5QYZiO9uHLbdPcDdEY2ashfFpQ4Tb5r7qHxWsDyPsfkItVx75GeZGmcyG9/yxRR/T/MA32
qjMt5aW1g8pZazJSIH1NFzAHC5B/SqrwrBxBeToy7Wae89Z8Xr7mEywyqgA/YYvWRQYYVHAT1xSs
qi8kKDSfKfEj6YASRVIPijQNKtju0fgU2clc+PNrRkIdVmigzbaUtagB8BlThjKCmIXTes4O6Wva
wlwMDVNfTQiDlbhqvK8q+sJImsBF7GWvmQ0B3rhP+muSw6DzC12FsMtPSao9h27j7hsAkRI0T4v2
jpNiJSUOIbsx0pmna6qktK0yIvT4B8J5jW8I0QdWxGrZGCXCDX9QLcT/YLhImxy91u7qtM5Xepm3
AHjqOOJUUcnxgLGLgVaduRhxIZeLjlA+DZJVHVu3fa2PO5JcnD25Ijaw5JRbqb+kHTRIZs1wgya1
n+dYlLszRRuydlXPebSsg9oN8nXugAuinOudK1ocs+ssmNu7xpr4R52Cdgplss7Ks9TL8KBOi32L
iYc4XfpFjE9x72isHIEN0dFq9rGcQmJdWrotH4Y20a4KKj/ZMnLrc2LUiuXVzsxNbOlbBt5i3WHs
jT3TXkjiDGeWx4keNvjwrrGf07kxH+u40+5sZbKvf90OGgq1vTI1S9waJcvdZIih8Bt3bpsTEXOB
+N9qQqcKTkTD7KXikNJKfoRKDLupDOy7ua5BK791hYqA8jCSJ15me+hsj26h/9SF2hSNYT0LU1DG
KS23Qte627pk4QzVZFjW/K9hOdSvNusC2yGS7jKTxcbO2I/rAm0BzIJ0r1YGlvILXftbTaKhNQ2f
Oj5LtEJJwSwM8JAf8kBMtH06ck7rBlqlUHWVbHp6ht3ie71omqftjUGwxjTiw8akagEg6jmlflWq
+rBlbNaRmqefwopeZIgAMX+yw9ZAbB/p07Lp46CP0bjVxqndjXPk6bh6b4pxRnoeakZ4qjKfPoW6
eVcRKUJva2W3xqeOXOU6rL82dhP96iATf3ZimhpVtBQT8sSQrVBvT0w1tepySmwcWh4r14bzurya
pEl7W6JK8s7m1CdIJvF95fjzB9T7QeDbEfr2heUR++bxGIbKINSUFy5uBty1+IGve2UVrftl9fpC
/yCFb5BCdNuIsEHN/nokXmf/Om8+Uunf/tD3gRgQkGn494gLmSDxx0RMyAU8uG6rRFHJuYZf6w8q
Xf8NkFDOxDqMvkEgL5fQ9+4wRjlh8gdg6Jn2GL//2xMxlwxcr2pBpVs8dAm6+zBRUUSJI544p5XI
8RePQ35LAsT9my/lT+bhH6N1eRFbA9zUBRkIxutc9ea6bALR4spMQRpUh0EphHioUGxd1WNWbcsS
uZwTU6puwnGsg7JTSG/K2l1TaUQZjKiq5jLHNYEG5arp0Rgj2dW2Tm1EL3OjTjsEyKNfpy6FfUVR
7Oaywr3T4gr++aeQN8+72UF+CLBevn3K1oTU37+9uZqxcCLTKJRV32MJoWEU0iSKfjFsCTmr/+xV
PkxbAfdwVA0VX5WZYYTXYZ4Q885UwBbuNsm04qC4tA+DTSc7osE0H8Wm+8pqTl97eNT7WVva7c8/
+Q/HivzkJlMZJXiaw9X4/pMnnW0mXcJ7wjp5RDNCAIde+JOiHxtzOHQG7E/bnP78NX84Q+VrWtgQ
UIzguLA+fNsj5fCRRWkWo3UeySSnPCRN0mpWURvlx5GL5Bc/r+BO/PGbdxyZMU5LkfHx1DYVV1Nt
xcarqQLShX1oriZRTMcp60ufiw/+P9aqDWrUaF3Mnb1ZiujKaZ36tihdkz0SywPmsgmKbwx2P/82
/vTaQzyjOvQ+kOj28RdQDGBwi2uvQGGwT+zoaslF9osX+dMv4D8vgoDu/c88ceWDnJbKKnYEokIM
HV5JYNlZT9H49c8/z49lUPy8jmpa/Pd1ffywsjKnDRPST2VFGJoJLK/NWKrxwsV6ox1Jq082Tl42
Z67ZzWue4u2u7+dkM/QjVl8j1r/+/O28tqN+vOuk1YXFzuKxrX94O4raaZ3ddOG6Twn7W9lBAo6O
ESH1XFzHkvueDFL1CaRjoXZr7TIp8Q8kRb80IHUC1V5pWsSEOJUosAtGqvmoL6nIfINOk2DVd+zE
egppgJouKZ57WyvogtUQzHl9Q/8sIhll6laMlghY4G95XSVQCBUE80O+US5JDuo3FtACJgkTfhmd
Rmnapj7JAJLkN936OssFZdCdEepQx0B0z5D8Y0MEXpNjpYgHqYq3U40OgDjTPzdz7xZr8gT6Bftt
UiGYigQRHNFgYLG1w7zCGF5nKtJvE3vw4lioeIw5y4kOImtNun9UKPI35d+iPwstqzkD9LabrR3W
zD1LxFzuawQmfv2vdIFXURSelrzTxntTCI4tH8NrolZH/c9LwZNEm0y/YCqEjI3Q476WgQcD4hPf
qtybSvlqEvnxi4vmx3sSsAFNG1GShFThlXp/u9TpslhTpAU07sb2wSCI6IgsPTv5+aUpfsAcULdJ
1ZzGjGBrIFjvX2bkoeMs2sCJlMKNLQR1YAM1kuEEWTcPuwGfMmkTFrKjnAM6XvDMhgYEkzl2XC0I
Tb08HjQ/qiJCGaa02fauEm1LmXD4i3cqD6H3N5F8pzjawAgEiSofjuxUSTDnl2aw0voGbWjXRGsr
w+zTEKJ51RgdXUnp6G6Uapm2GjI5v8hqEvNTXPvLrCbbQCnEulCcfN9OobqxtK7ZkzEI5eb248qo
nexXD1v5E318xy5wA+SpAQT6scWzis24KSA8V4lMdMFhn2LXMElidJfxE0W/2jm9jalXtCwXjgYo
vSpEmPg//950ScR+eBfvesw//MLfe8zbIhxv07R3TpIA93tpL90nE/Ew4SF/UWpetjOhMJWSb8z3
zeaL2T/EytKt7aWKVmbvptsB5e0+VrBWBE5w/T9Yc/4nN479tuZc/vM30yA7+3+p5twYQwvKbdbu
unaKVxZs5kZXh4J1tf9sl7G7+fnv8OPjj1n6e+3yR/zpz2qXp0YtD2YWXL2+0j/b0/vtCWUuz9Gf
bE9t/qV5yl6e2recgqxffv2Df2xQ0i5LhbIrDBsTNcl/bzcogbZBZSw1kVy8VVqgRTb5a2qRDXly
ckZ/X6DU31AukyvNf0zGPFfqOP7OCiXPte/3rwTBhY3UgnOPU4SsQjk+v7mebcWqYs4vsYoQ9pzS
7pJs7HgsV+5COIUSRfMvLtT398/vr2e5oJuuZgs+4PvXC1ETJQniZ1IUpuIwx0W2zkhX+tXh+P5Y
ki9DM7UrSF/ULZTe9oeZs07ULihliF5Vps6FOzjmlZPFp8vQK8hTTVrfSYE/zVvwQiyL96hFjFVl
hDQD1Gn0q6fgj5/53Zt5TXV+8x0Hc1IacUys/BD14z6rnOysyYZLxbVkogvBsEua2l/wkOrn5O1O
fkG67UqPETVPIzrwNOqRsZS1+FuAyw/f0cedgTlZJdIKPmmcxFfbwLFWtqh/eQyTCo1kYgyxyyX1
XHwrb/9LTP5Dlva3FyZ9i2cWdASIw4drgDYwQGpDUVc56PEqLdENI6fF1xyZ/QWGxGwvKv6eGTjO
Sq1lDBpDhPfmbr34doW/pbk+lIV+exMAFNxGrwGZktJ7e+HHJSSXthCGqLlNumYvwn6tgEMGdh6s
o4wsrwF6G7+eWqzMLHUv2WuHs0WY05fZyu1rQifq1Twa+cPP39iPNyQPdOgZ6VTAOqB/eMCUxC7U
M/zcKkhwCtVLWGzIRdEQXvTKvsxwWf789eTnfH8AyAFCI7CHnwLB1Qe8b3RK8t0r3JOaO7pr7Obq
unPnhQltsm/MaHEBMISBRTLKgl+syVChP7y49OqbeCvAGg1Yzfc/wmQuuO5Md16VvdJs9WqMDllZ
kFTVdjO60nY+VvrQHa28p8vQsgrjdNFJZtz0ekLkBM3hERoaPa4DP8k7AGXyQ4mtCcIGL4M7xozi
U9vZZKKNqWETGdd3oTc17bx4UWm0F6Vwi3mNJKc6tqHaz1tlbpEpT1NeR6ToxGDniqirMyex40ey
q0jcyo0F+2+hZ/0zzoUuXbOTdU+1qtbEBVB1AFwaFiJZTa1mXtljShxSZAlSbJYGozdiV5QlWZDZ
a3iEZkZc0RWOl0bGYG3mOh3OLAeI5IQ0PaT/Q1+ZihTthNfsfeGRgDlsy6YbyRJ1QyGO1UnIKUPE
HFTEFFYhUWZ5PiJ66+K0IMtJqRD+k2/AMtzo0TYtmkNKzvSFNaXarjUjpfAmV1+8atn3pPR8nmbC
1AiXy5L7CGkVjEiVNip6E7P5nA9hdROm6QSDxj51L4g9FzvLtGcb6b/TW37ap9EtEZPWrdQ6txvD
SaZWmtk1AxurftIQnRD5meLo02qYDDNdz3GkXU5QKdNWD5WA+6k2ITWM1NxiXR6zi7ipM4zscxN2
xMeAJa2bccY5EONY7k6aTNsreZFXG0wSeOVEOwULyuOAyiptDmwM20rYWkRR6Y2y4q8hhzAoZESk
TOqeHQAJlaURib7lreOCMNKFpCdDys8HeBa83SKOVC9c1Gptd/pYE8bVusYa0/q0EE3QDoSfdZ3h
+oakXKJISPZFNQv0gOZ2JmX2iqgxPlArCZtcUjf2oIurRtI5xSuzU0iSR/QlfE9tzNqxi3vjU//K
B6VD6NzOkiRqXvmiySXqhXTW0c3pZs+bm66tnCt7CKXo3Wjcuz5xbl/Phn9mvTezHkkm4IPw3m+O
zdVT9/T7/+XsKf/yv//X9ROR6/9alXlchOW/Xr78Kyvbf920//4/zwTPvB8B3/z7vg+BtgHrb5HC
bBH7LNsiv8ttLQncQGmpzu9K3N9hdAY9jdNfDnoqwhEyUlze4h84uvobtlbmSqQlPEWFtJH9nSkQ
IO5PTmKTTBdgUhdE3fpwEhttHZcJioBVrrgvidM9xqrywkEa+YCO+kni1M+kjD2Y5Ilssd9N3rQw
uOS9eq+RX0lIVXradTZaqty9UIZe2+mD/Rxo9BLm6ABVK3ixkwT7/9TsiPA6MbDhbLCwkVyLtyXK
DesOkGKjLASSiSjut1HKwjrNSrLNUCVOvZk9IjTD2Kx20WWbdAK/a+HeZgag1mCPKoKwosClm7fo
+60b/va5aS7lWa7Ps9f/f+rOLMdxJN3SW7kbYILzAPSTKGp2yWe5xwvhU3AyzjTjsKdeRW+sP1Vl
3a4s4F7ceuyXBAIR7ukuUWb/cM533BsZLPVMZHPot1IjT9dFDlkuEYCZxjwSOToTpDzgjG7CW10b
xQkzbAf8Wb+2qTgq25w3HB5FKAhL2AwkKngagZWNXvzC8+s/5oVi+l+l+8kMEIcp75eLbtAqp2fJ
jxD5uaNWwVSnoTQYTvnII2xjkby48sdMcV8VXjDsQLadEtvi9aqKk1bk98Mwg8Kui4fYuDkyGMUx
EDHKfSZsltmT9WbXAIYtPGfYZbKdRTJ2no0PM5vBsO0SzO4yOYukvndJNo8gE8jtXIl+5arZCDOr
+aWRRnSopHvJPDluy15ta995J8AkxbDUoToN1Bk3mbOyMUHfk3zzUZJVEQaZEBv8aA+t6PbKwC0x
jsYbC7xnq5Sc5bmOfd5+0BeEO0GKxrgzob5N88a1GgvkEwtFVXEN+JyyUZ6lH5IOKcy6ZM07cc5k
HEejk98npd+vSjvdyZlBWNGeMt27B5J1MCo18rONB5YmWP81b9UMtbspm+IhKNvL1MfwI+Jx5XnD
DqEtmoB5r6fWgJ+neoUFcYczJZKW+9BAMlw1zfI+V/lDsKRsBry2wwdpQmhlHFhgeJmWvZUuILzl
cFym8gB07kFW3gWp1jPrjF+scq+aOd9cJC9pHY9RI/wDTU7PML74yHqA16o1HlCb88J77VfS+VNU
4h5u2h6ImIcyklWbBuNywBCNrHXkrqHqsr6XdOIqqg0uv3j41BL3wYnhAuU8/my81U+Xdh2bUv99
6LiQgRaXNvjoMRWCqTQItKQqh6MbAz4WlR1KqGBdgKq2cH6JFmJc1r+h672Y2fSR5NY+iLMnA5Fs
qrDqxVTmoE0eWV1E3PlXxxzZWuHDp0s0Knk/T+Wu8fILqRR4VPrygeroQdlxH5bQbdlVHxOrekqZ
Cwu+4yyjAQ1raOirOImM/ofB0LaJ3R/LmY9LPN3XbrfTfcARSxy2lhZ1ZCDMWoB4Ob+oAIQGPrL7
1IPECzezQd2d9foxSZ3zYNXV3iuWBOmqexi0PsE55V7KevpAQyMP8dhvm0HcFzAjRNut7Q7KQyY3
fpzsuoJoKjNN90HWvmbafO/xmCSi+ph7dyecnsel0/NVA/wPG8uxX6YDi9C1PeaPc+qf6tj8lOPw
C2/mejGXJz0TVJe2s2Znmn8VyvxMRcK8ytwKJ2PXb+ivhgL6V07bfAbCMw9nWL6bmzo0VcaObJ1N
mhfXJbARki6fwjHGw1RhtLQxGBbGnfSLN8bovxoA2By4e4knrLZQ83ROv8FbcCUDCDuiu2v119p9
NP2HeCEaRzlbW1Nb064vXgJ9yu7jrYMCQTTV/dA5URbMV9Q+R31Bs5yMIyYrmJ64/KtPCvp8ZVYY
xZJgl2vd2avNFBegf5GpZ0BP7yHVL8N3MScXq5tOnarOXqd9DHp/TvLq0w+Sc2Wn5wkirq2yV1oa
MLaiKngW620d9Juij3yNutjIDuxfI0s3IvyRAstZ+prdTK2C2vPgMWBVoxHFhs6x3zgmYD/nmUH5
gGlYqbANAsxFpn6Xs4Ja2RAXsjihALWdc+JbsK76bRBk6mnp7d+uNf7kvTzkpv8Z6/o6n4YL7rpN
bowahNz0hdOsXqNw+fJueIp8tO1NNrtHU4KwYI63GhL9IR2hoUOEOLpmsZnG5lRmVIdFZt9VtUrC
GVMK/Pl7rXW2hHpowMUB0ceCcz7N5r3mVfdTXF3wRpDoQWDR2s/Fzh/dfTt2u9Ha9X1NuJh6xOi+
r+zXiel3Gz8tPmo6qtKxqL8rbTcs87qDXdZ030Hu7mKjeUXWtHLtt5ErNyyn9NhL+yVx6JRi0UVO
VZ/pQQrkK8MDxeguaGGfZOA2w962yU2Yqnlvg+GGF2HxwnU3gRcN7lxxaqLgw5mQnFx3PgnRRy6t
JM4A62HSYZRokolRpaHvmllpY0W7V2Zzpk3+qauA/qHo7ltD3ZdCPwyW3DaqtfBMD08ynh5yVDIr
zVpGyJKBuQJaEyaljKO+9JLtlMmfmXlEAQZZVu9LmRw7aqKwbut9aefP1MLI/LP5XJV8S6KC8AFV
blSzZIeokR0rXp+WjyzkVuTfXXdM3fzcjOCkpVeUpzidvvymLaLWYK3AXRjqVS2h2IDltNP4kExA
aGxcRWHqGw9604NaVem89Tr8N30ryzX05H7Vl7cUn4H4oLioYFPFtFsmgDgbQcsqk94XQUDgVVW+
h1eHASh4KyqXNltpr7HbYFJxsMeXCUkAPie9FeyD2f3dcu/ta6VdiB14ywLVADPBCJpih8fwhy+P
F47iTIfO4WnkceR5bK6DYPr7vO7fagEuzU/1NHQ/P8PdR/O/bl/6VTfEJiTp8Dfxxv/704U7Z5Dd
z3/wD/v/2KCLwqddV//6NX/5FtD9/vxpbmX3X/4Q4dcY5gf5082PP70Uf//fofy8/cv/6V/+Wcg/
zw2F/Mc3Jfw664f/QkT+33YB+/Lz41N2H/888f1TfM7X/aPa9/5A6I1ohtYXCRUXwj9X+8zoPRbH
0BEB/vynZEb/A0UwpGoENfzH4q/5oj9Lff0PZCcBYTMgK3wLsAWLnn9DMuP+baz314HPba7E4ojF
Kory4F8GX+PiBQELeYUpB+iN5fcygtUPCCCYgrWmpR+TAf1YJlaz6vrl7I/03tbkZXt4sliOPaws
doP/lEvFeM2X2QGQ3/eHJY9p8XvUmk7Vv9iju8290dm6GbQroTjXHRJLtvE4+zDHpidr5i9WdtyY
G3z/GiilscVYIfnHmrrYAxBgfWqcI0tY4KaJOCzsfceiuWqdp0fVAkrVWoZyXRYKqP2g/+ZWQpnn
8cN2aX0eitghhWv5LsBGr3JLT4/BEs93i0zd/S3q7GL57bHUh3YXKPzzgwN0LpZAHhfhnzguWD5Z
k7bJGmxyrZUgjHCsC/fPtNY6+bAESGDz3t8TkncpJ7znma1Opu1RlyHd3/S3wblhu+OZAuY8OZzz
pc7vYbXAwFoAHfQ/uPfzQ+2iO0WxumzxzT1XtvMJbP197MQbA5EvNy1eRoAXVw3JIe5ZoDeg3zBh
Le7rCFJ3hxoYBlw5VEe79PpdUOkS6wy+bCXrcmvRL4WNWowwsT2FPS/YumMLzoZtQEQg3iNev2MT
eHdJMe3YUJytKiPU0cfHnFVVKL3uKzcmtL6zjd3dk5x2HaQkAVIp6GFijgrVTk0U0MyNbcdBTLoK
zHOd3DqmbOkFJCSzIeqQWXL09gFsJNdss6PH8A4sb5CeTBdKWKm8FsNMUt/qd57DWCP1Jnmus9xB
cwuE1vSAM+nGbpxEscoCl8kH94PAumUQE2gV05YaWQcwZyBrKOzPYOzAaI6z2jglh7xBtkM+muGc
p+eMuBC7Yi2r+7EFDW/cFiZLUVgdWPWzdeDy3PUd37DBSmS1ZIK4c/ZepwXkanM7TOJHCINkhdTl
DVPnvi4joOsTCDHihhzzXHbLPneyc5rqT0NL1pqmxXedIt8wm60n4cZnty3udc/dm3a19aW+FlZO
9ETQnNLBnUPL7gmbKdLXBefgMrl9NI8auKV+JDAgJzFRlQzu8tc+td/UUB9slOehqsbIDrp3hM9b
h4N7ZYPJKpL6jqvtVXeSLYSDZN2ZX7k7MvFLaq4xo/vGVVhRVxN/0Qg5huQKbuaYcnJRFpQP+17L
c2BdVvXaZc6Fl/5H+cfAQ09COVJrqHkDkxSJvCUvQF+3wnjvFioYVwsdoBOiwOXU0byKMVIOjJY8
KV6nwL2r++AVGN3KTPQtT9nazwSPDZhlMfVWNKKBIxMbtcaiQa+SwMrmQEGO6KdtDPeOUgT/q0P5
uSOKIjlnggASxqwl3Yx7HgekwNQpR1MrAlrW/sllFV0VOnCppq2e8yLr0ISXbBRk3IQi5q1fNP6T
UUhtBpJQQgvvLmoM/8HGtb7WfEeAjdDKs4uSei178JJ25fHk6N55dBvx7I7Pxhg8iTnYd+lEeIb1
2g2dOjODhPVlZRnuSlQOQsIHA1OJwKEO6LFLnoy+jXrCTtYi856nRj8vPnlYTZ1/qrKSUVokpCAF
HXHpSXDtmkQiDkbTM42DCCW6uXU1j+K5t1KTcMp+n8s2ZmriQdzJnY0S+qkzUoi0cx9Eed0TsSHr
IRw1kPONDE6NUWhRYhEhU6c3flvsLC/C7ayt30z6BgT/N87JdF3nUGrduHpMsQxE9EVAQII6B9VK
4gdn7MoARb6SA6SGZeAtDwzirWIYiVFpnuZJodW2YIb7WgHPuyt3hiXLiFOU8TzZs2co1vLoEZcA
yMvjiVraNFmDBYxXdek8F7ORbWOnr67+It9oCV5IEYGMFGbElWTzNdPBVVvLWtanvNx606nh72N+
ObPKyDhKw66YM7CFxiNC7rAd/O8YNRAvGzDTdGuX1Xc6EcBlF9qzZ2nPipsE+eVT1QYrg3zXKR+S
U+q6BFDwcIBYn/39XFnrIRVRPZofg+0cMhq3pGgjAEsnVaMAR5CNRmSdQhlxi7OB/dY8+MqPhLJp
U3GoBuicKtwossU2qlXmun+b2nsnWJ6L0YyYQecrw001UlKsbSPjPVZXTANhm59srEmJt/WCNzeJ
yLoSy3FyZZRrb6X9lDDnGdL7MjHxk0+wtZXzLPRg56Qffpa8uZl6cMt5w5SoocjtXhWhES6BAdkY
phUc9KuewcoVVrrvLPo9q6C/6dNtkOwtY77zdO2998tgnWtDvEr96hWx3V4oz6R/AlUnA1iYsvts
fXiBJFYSFFPY3a+h6oujX+Kb95fm5JC5ukoY+WCSx3BLSFaDQk3fidzGn9PbkqNc7QCC3Ojgb54G
wSPLsIzjo5h12ivsLxrrg3k8BZaVkDYk74SIB5BNy53bzeDCyWdajQ7z8WDJTv1MtB3v7VdMYuyK
2WwDfP637fF/Hebh3Sy6a001EmVVTdWd27vatutDMY9gj+RCpU22VjazDxlxIBMXI3adzUJoBAd4
6gb7WBXB1zJN18F1nyVYkbSp75yFSRxjrNUoOh9LdT9vmMq3UQ6hKqyaGXsJXCxaE2djFF4B70bp
4XSLohmL5XUcJWjcycjoDIcIhAHNMp/2lWulxnpoSCdQbEXWrMH21jg+94ELe4Mgor4wnuBHPpI0
qlbCGos1hLAEr0Z7nxKHsbcTezymQ/Frqfp3O1Bv4hZCNBrjL2+BO4Sl4KCzSnEasfV8pl956gtA
m1RXgD7uicb4sbPkki7uvarmz4lvufZHrsZWVZtZd47zQH7L2MQPvR+fbUD4bUrs0ZJE+Oq4Gmvn
k37t3mp0MyxcMAeJhXSQdaS3kZN4tOF01i2BV7mTnloKUJLzgCtlXgG3htmsQdDfCj0BJyJULhPq
JzacZ7fiTY0dh08GK7+dKLR3ux09vAkTRaeeQV/hByj9zuDlgxMB2Iz6sunsVcJ47tgYccVng6t1
KrEaxEHxYFbFp6f6L2m0H5k2xnCADaZDrrfTJgxkvTeTfhMDbDMqoww9j5AefzzxBOw5RJp11spf
idF6x97S+tASBOfaJhkXMCrbNZE2+m9jTunKl7u51D8BesObkPB/3RtfrXBfrIRPpNn0ajW6gCFZ
Od6XdfkBcfnKg78ZGp8bHHKUlfh51A3THkZnt88ZA25lrqs74gxq4A/2FUzWhrLy77vaf6sPvMu+
urqvfw//2s/9pSP8/74HpCH6r3U/T/ILRvf/+d/1X3Q/f3aBfOU/ukDnD1Ri7NQhodwk4PR6/1j5
eH9gB4ZLbyHxwVfgIAD4z5WP62IwoA0Enq9DPbmpcf5p44MK18PNyDIIf7Jh/1u6HwMj5F9WPq7l
4AMw/JtTw6fnxBXA3/+TLMUvu8qo5pvUxK5FpKvSCQtKlaHRPplVg16i/gxnLTlIT89C89EKli3+
+2+Fdx4FB/QQ5iI3g5OxrAsQqQUYARB7zVtna3d+Mm46RvIQ884E6RAjmm1HWTyWEwE/bfJMtKe5
alPzXbdbhsnVi0HAfK+7d4HL3QckHGx/EvZERcjaCpdBPUrGxY0VmzvYa3vRxc9IRWFaxeeCoB14
Afw5ODDMfA60/Jv986FJzccky3KArDX7KtuLxq6O0rJ74Ub4lsP8nnQWchxUprlj7gwPZpmj82qQ
JMUYCz8k+4YigjdOPIzmPQZOt7cQFeve9Mni7hnuyF1ae2er7q6lr91zmyQrEgNveNi71vWfCLEm
Fg2ifAurS4Ni0igNtUFvrozKO9PqF1RG8cEMUCd3s7E3NBP+65xyGpfbybPuPHfYV17z4IzmJqCW
p0y9QI74hcUscq343uzhpHhtmIz9IbfKB+VZL00LclBoBANVMOPE3ptwcTtmNMPFCC01obicvy38
3fS+PkOpBWauhQq3Ac7ffSm3/qyXeGcrfm6sfWFFKF5ca0fduTFYbcAZunXsO3GUOkFCS7wmKuCY
qOInaZaftku/uQc2tTQ/cFd+WWUf1ot5r7vtkxLiWWvYC7bWCUp7qPtoTATlOXjqDcM+GSJ3S6I+
BxJeVV9DnULZHs7BdDMsz6i02qjlYevIT3IgPoOda4v5O/HjbTCm0TT1vxwHf0lMWEgTWJdu7N+G
VNtUkCYAOPqPC6KdlWPdXHi57a7tJP+gBfz2Cjoee7AJnXeas91gssOHertZEtoMAoIWoz67iwLM
Mu3prcoo13NC45rnrHCqtXQUQTEuz6zVdh9xETwFGYk5XWpDSK5TgiZyqgFSLR/IfdvYKt8FRKaG
tScZc9rEq86Q9le55oEizMTjEmhwftzsKy5tIkB1qGVT061K4mujzNb6TRx0P32Q5Gip2RgZc2Yy
swFLg2boBTrza5YRXkC80zaJs+tiZNfGsg9mNm6hDW9QDfBpZZPVKOedPK8IRN5+AOpI1xFvJjEd
7V5/Rh6T07Yy8NdLEaWqDkcj/0yzaesMwRi6MTQ0u38jXwH9RvLT6tSppfXRWDUBRDB14s4gD5jy
Z16mdVkN76Vt/iKn95B5/QZjwbaVBklokl3a/FjJ4rmKx3W+4CP2aLFm6fxIkJoO1Bmq8GLXlv61
rSGI5P4BN+o2URB7b5hxzt+9AWh8GpenrvZhCGX8AmRemAlROw32csZH9uJcCdTY5w1mI9HswC4+
GnP5MmH61URw1kZidysU8P1srMoi3fEZfph5kJJsuUO0u4O9Q1aRfgN31v06NmMrdIRxtEz7Lr4N
ZabWZA82fZnGtM+BXjt9zhi45w/kEIlRkcAUOGGqKWsly+qidGot4lThhhwc/XbI4iRjOPOSJE7k
mDCEWxXsTfI4Nq2WfzWg2T0AicQPcQJrLbGQxXPtCyiHNGmZdnAXOO9Bvpka79PFt4q4/dqQzCSW
+EwIKlRPxWwaSv9OyXSd15kTDa2RbjytmPdG3L4Lk8AwYWrZzkOWwvKuHx4Xiveo94L6zjfIAJ3d
yX+oMoctNpSiN8+zmUM3yHpMsJCjvSnt+RarEsccDp32206ZEK3MpvqcKcFBk2o+LxnM99JOrsDi
F6I43ffKHsxtagfVOnXiCUDRkB/bNktCqd1IUyCA4LuzOW5940vlrLNloMZjMcYHLBw+ZgUTDuXs
PwZBzrtq+HLTT5WDrohIwxKr+da5Sa+8Sjy6CHTDwSqqfdD1T0vX3ZbUhr7XGRMxBavHV7x5nJU3
jeFc05WZk/IZ9xkKk5T5IoL2EQWTtcWr9nv0E7mfjP4J8hDaJ23ml08TAr3Ka1tV5ac254RkeIW+
GSVRfkxBa9xfAbO7UqPRp8leJw4L1JqyNJ1YU5UBfVanLqjF+m1ra+YZTjeo+rq91+FwrqQWF7uU
8GqRF2+LwfqphMQVwqfn6Fgk2d5QB3aWMRB6ypDnMZei394gJ3da1n46VQY7KJvSXUPExEWYRhyZ
U+usA9UxtkkNtc8QM4VEj3qMdvjw9jDq13YNC7vHAb0li4MZaH3LRWPjuWrAoYNTJ4ZXdaa4KJec
KLdsnm32S2EmZwcnUcKEIDaeEUZ2oeLzsnFrqPReWj8NlfZjjghtp5xFTzUWv5HGwNdJR3tNruMx
Zbv4m9ODxOou+bH8uV8FqSt2GUMhfPq22JY28TrKMd+7cphfjEVzN00n/XtwdnO5811+2Dk3rhkj
I0ICembOhKysBg6fsK6GdO1miEl1drlhvCTehfdoXhs8a0dT8JZJOBIbn4iODVm+DfkgjpdtfAY3
64ZaYGU3I1mbQblL+q6lPZnkWjcmZ9eMjr5ZYruOMg+7Q9Wnb4Vng/4Ecrgq8nqKfLP+SDV2/Ukn
AcZmIwlChOhEOOPnbQ5OgmgbwljjdAmJYch3VhXbdw1zx6xJsCxZ9CRsnfj8gHweO+9ayODbd2d1
mZWtI4hBekLu33UeSLS1SeD8WDovFFU6wxgaFgJQKX8ID/pM9eBq6ilyF6ckOCKJCSzJgbc2s3YK
YMauTFmK7bB0fF5yLspCN8oLTPMmMskHulGxSMxmuh5Z5LKjGV2ehAquQU7P4rvOehGEzVq++UjE
DoNDA3fREPDhT+GCcoboEbGBfFb8auMrKGizscutqNVTgsZNtJdNQVR957vtVt2wS8sSH6HmJUd3
aZpIFyQWquqXFGwz59jd+KhkNPf9RlAlQp6xwvSma5SrtzDvwWaq0pGclms3VR8/Wu4wdRFustd0
WtXYS46x9+UV9s7g4zXi1yGc+gxr7jsx3YOCFL30BB6mWQiVTdOZxhA+/z1Ahy+WYeR4F3ut8DeV
BZG/Gw7kot2AoqBdh8b43efEFSAYAe4FxYvaBcfTHR/2x0Un92IuLtQfkMas+2CWfaSJ9ivlEGj6
36IadjH0X4Yt69Ekq5LYNTzEzZMAPJyWT/OU7UdPvzPxEZNiRfoT17nu5G9J7fORCYxVVea7xmz2
MYHzcikJMqRMl149hwpsWKz5bEbRpjaD/lWPiNCneI9EOqxFRiyEFtHdk3lu71szMFF/10yKjNtJ
r9ALtStruVMk7E7GXeurixckyHCId5W2PGW5Rmi1ni77xlG8oEyqzFkphCP+loggNAeTV4YoF59h
qNHbeseW7rl8bxDUOt5vY5I3fEyzb5OLV9Yb3Vkb3bvncUgG+syEcvTXqWzvRTY9tUlMCEkhrlQV
J9mgmRLDsU/4rvDJddSX8Y4UC8LBeXTWWu7ve99wNp1HbWcS4JEAF+Qk1Y1hk+fT3e0EaS3vNZ/I
xAa0QBSMBuag611F7yFgAEsXySm/ncyIGKjbIILJGhEMfDUGaW0ICmFVtjzHMeMtCveln4GwngxN
XZ0hPgoG2STBKG7D71gYqHMziaIcULppx6HTl996cczsKHMGENJcPUlXvQeSQ42RIpLpyMMzHNwc
vCw3HeGz+w/EUxX3kdD3+dIc2TMd5SwiGD1F1PVZw6YcUa8JxIkf1JFRP/Tf1VjutVvupDKMC/N8
L6ooSrHkiWzjTuM7oGLE/mC5t26+gLQ1uuasFyxDUph/9RS/p6ysVi0H22EU48RbK89o4ykbDGRi
rsnExqKBes0wwjL40rrXYDQPutHHuzqwT7HgLUT8Ql2apem21MbiPulta5Xj3g9zs7FXpl8sa4uZ
NadhiSCsrM9wPkzSbrJm43MJcfOYd4Ovms1YtWdhEhIxLaSv1b33ha3lqUBMu8r8mYMidr5Efwtf
EgYxXt74ZRajRl5ne9BLQx2TBdKNl6QhfsU50hr2QpIdnvLdvQqyMYrZ7slOEcvsGZfmtvjL8hsT
1221TWH77GPYDwa3RSF6IyCLt+WhuK0Ru6Y5on5wLlrqkFtLu3VX2V0KLZAONNW3aLE+yaJx2A3W
Z+yenAWJw2CU1WUZwEFPMk+sWO7fE/FFphcLrShxyqvO2lNT+aEaXXLLeF+Pzm03Cvr0omDbIFbD
POGOA8oy79RizV0LsyPSYoLUzvaw02S+HpJ5G5gsD02dUGR3gNTpzvo6iOPXih+byxcloiHjn8Ur
fsFbhA+UAVNsNTCbvkF1SfyOtwJ0+uM05nsPejz0LSZpBJOfWqPqngsNgN6NssXKrH6E9mPQ98gt
C0egfI3ZRYIbC9xQH9rZ8mXNND9SB1Y0TM1tlUL60eC31Ma0SnKuEJw1kL4HFN1Fe2PuFy5RrCj3
E+Q/a2xwvJ4m+UXQeuRJX8YvfdBeAGiPMAKt98rn+G2BE2+TmVS19m9cnkE7D7XC3UMq0cpQKH20
0QtYHKAEKapJ5wMm2pXRlDl0RvKKpqwddn6KlpU8vYFKyWIeXBLAICRfoXcc3PCSAcM74qGcezJA
FoaUizm/z4X5gi+TQaSV3opf3Q0XncRRn+1GMrQIxoGX4uapQAxO6sWMeTJAoIfG2F0QqH4QRPUT
wLUmFB3dD5Uj0vCrU5U7Z8Kr0hGFKwIPUCey+KAwh0OikmfEg1DpnUKs41LvuTEqUiGaTAtrEDKc
YdoVRvx1dAhZliVQ81E33sCLf3hDcT+O1Qcz8SWkhGN1XzDS1TNEeGY/n3F4P/JROiSB/qmcst7H
OrBISY3Ifcila/rwzhWu6akzt3Ou+1zo9aPWie9AgAjlqLEPlWntyrr4Rtb6Ox7SazrGKDm5vCQ8
pLNOm74bTaBSt6jwne1yWUHSNtxdkNGvqGYo9hbYp007ZCrScJAwUK0BSNaoxk7Ub+RmgXdiKsAn
QPM1sR8zE3NHZ/FJNrzfTla4Ydbj5iBdV5IY3lpnkzDfTVWA4nAsjRQaN98si+bt8pHA5Al2yWYe
eHr6myQpiat3gNY3Wm3hstARD66fv6YI4NjJkB5hktXBUoCwWUb0IWF5Dkz4YpfnZUoUwnRt3SK4
YxuGwWh27rAKNlGWxOZza4ChKh3tgzP20gbWrjOLc9MjqXJBqtptdiumklXv9hqFBdlbwFojvQPu
Xo7jyRzI1mBtgXbB1MKZ6n+VZdPbAjOucePthMcd85L9ptfJTwemU0vjPUaCR1/WcCoJgx/8ctc5
wVuNCnLVLQNU2CUuIpHZw1awUJt8twnNOVin47Qg15DkrpfrgNnWKljm99pmrD8Y2bpz1Wacqz1q
xDAp2CmkivfHE4fK8EIJ6Qr9FnPu3g3xAnJLSAR9Y1zPnC8Y7zQr33XxHLY6G5HFAJow8RIlr37L
X2LOQJirl6QLNJxnaTGsldZfqaf3lSqP0mCDiiRwr02o8VwgGw2JTTYnU1PqUaMkE6Ftaq7NqTkZ
6j2frwjLQB1XUR0sK59STek/M1VBP+gJuYxIF2qXPN5bTeJJXEPtBru5E9pWffZ1E65pJtftkpOt
MGebhI0DlLZrvnikZbBzxR3lE+oA3gMtnPtSTTSPOa/JZmEOMVZqg+ETjoEmLjUfsdVoVs6xjrUg
HAhzwXrpmkwOeZC2gXLaqMgUliUr17YZyOJzrVvVu0v63bW0iEnqq6YgbUWz19KVkPQxxz2MwlEH
s3SS0EbzF5E3kDhwTKvlla3puJlNqb8J01NbUxZelHvLbTDWuTsEhhWjUWYUoJ6r+DzFPHomIrhX
Z0EosiDZ2bA8lmTUZXN5ZRtiI9Fr4PUuvpcdzUZ1VIwDmaQVkevkLwevbep3LHdvJFZP4v4um5pk
z67mVB1rg4xn69CRcxbPqL5kdwxSewmntGGBVKI/bfoUtLRI/GNbmTvhJZ+qWU50Z1svzXZ0ySQA
GhtVsJ+rxrYJg9Tzog5/TjzHe9qa10BHixIQ1TmN3VUEcJbHluaG/HKv580SlDOj6x9JykwZIKqL
SwkXESTFLTpZqLIlUnlHbuDsAim7LV1qJDupx6NA0umdo7Gk0Zv5t01W22rmGA57zT4keV3QSXfz
NtG5LniwH1On4HdzXnCLI8FxTmayvGS3BdUskmM11acK1TU3x2+mgPieKnbPsidY1Zi6NbbxX7ND
b6ADte25mzkztmmHYjof76fCD8GqyQ1VDOtQhAFrBdstKqrydyGAXGssibqcIM+5FS9xNeVr/PjX
IOitbQHSub4p3o0+/8hoUI8sApnameJqVWm2bis6irHrz9SBpGYP7aMrZRtWSZUwphmP+OLI+pOq
gOi9IM4U3h0JcfmLVbn2szEY77ry/i9757Ecu5F223e5cyjgEmZwJ+UNWWTRkxMEeQyAhDcJ9/R3
5VGrJXXf/4/oeWsgheIc2ipkfmbvtaHgtvouzABeF20bbnratTWK/ACRlezXvMtBQ6rh2VjadOsm
iX1ZBuWv4WWzriWZ+1aUciNKdWDe1d7GifXo0CStfOU1BwmwXXZVcgbFZ28qm66mUcLb5hn9LGYR
oHD6yBgH4wrz/PpfN9S/yiAJxaKi+1+d7/cppqfyW/I3GeQ/P+6P/RcqSB33zMOC4emvLF1ioqGG
aVjBrwSuv4ogHc22ReeIdhihd+iykPpz++XbLL6wO2GTCvhbtvefqCAB+v5t+aXtvzhOTbZiADQ8
W/xKkf7L8quXKeFHQic24WigZHKfQDaXDJfal7LiZtcdPZZTYncnPfQvHTb+c9fFd7n+o6AFf54z
sUd/jjhgYZuFlbN0kVMWyT6u+yeDL4C2KPWBN2btLulshFOjn16r2WY/r2DilGDjj/24UAkE6V03
qO9LCV3Eqnsyjiqf8JWMtzQKLDs8jZMdH6yiUVsnKQGfcyfvBi0XFiYOeoPMTKJzCLKNs0/M48aW
wqG8KRQ7gtCpBCFJVbttDI4Qr+6frRDHAvNUnyAB68lo43esVcu6NPjMReKQlhm2K48h5ZaA1QZZ
BUZkhjPTek7Gt8DDqdsEKed7qax9OrUfczbZOBRA/gQGenhESNhaUNBsxZhE5CwRk+V0PN3luFgb
5LEINuG4cNRZA+oAihKsITfs6y92ntzb5F1euAuK3VJ4eiWIXqMeKLZKRzU7My4bvuuM4ZThEfLs
JNfC6MJj10pg9rYOwPIxfBkJJ41wk890Jigsd4A78lNwKtH9Mt9VHJxNdZfVU3jrFfLb0A8uiiN1
53byLh4nJpddXG0au3W2Zo/e3Ov8apOZTDLwyj9MJMsQLTslm5QXcuWM4hh34s7K4wtzJAo/Yu1z
UtIu3sz4y5sDhBa2nNDLI92SSN0k5hlhaPWtMb5WoJRQ7M3Rml6MxGSkhlnqp1SB1UNfu/Qmurtq
dZ8FOgftC51Xr3swOqt3mqMfcUR3BnFB4iAejY2he7dFd3EMoj9s2rpQ93eyRKQQ0fKNuvfrC3Jj
HNrBJIPujjNob0QkDXS0jDObtuJXDxn5tFu0lXQVSIBt+qeRljPUIt1Ey3U7Ldx1C2nv3F9qXqMb
kPQTQ4SNot0XWvQ75yMhzz5C4LhEl4EyGNAx2je4AEdSbbuTQ/bWRmgpMfoQbxWMpb1vtdC4HZf0
GGrxcYcKeYh5G3DKz+tWGR9d04UbU4uW/bDgkbDLYlMjeaj1ZgMJxKS1EINWRTgip+gRbnvskEwA
IpPbzuaCTOqQEWG0s5BXlFpmIcP7SesuHK3AcLUWo0CUga7HYVBPLGfu98cF4YZyp1sTIUdv1OZP
Ku9mU+UUtD6AfF4Vg32nsfhnzxs/rIjWWsJ/HadoEyAXsX/pRtys2vZaSxLPqEocrS+pEZrMsovW
A9KTQEtQzOTLDtMrCiYwmFqlYiVOyeLbZ0yvNSylVrP4WtdCGWdRYUP/8tz4btTqF3di/FubwfuM
cO9Q0GuQgoRaRiGbQUtzSn/paBDUUAymK9SVFIT0UEO3oLpJQ14dSThQLsqVQJpTDPIh0FqdMWRZ
m2v9jm/CZCqR9ABM+pJa42PyRmgR/YxlvDfj8DIhBkr1GiWN3TOuoF1QFc2KGPUW7vX81S/uvUBS
RO31w0NiRAdSbDKtOioLHPToKvfBYp4ChEmahbF2M/VRaM1SNfZvJiKmFDGT0KqmVOubnKi6xzsR
r4XdZhtqwwENa/3QI4uqcp1WJ92fslFPPsIpmRoDEmktQNKqKkPrqxqttJqQXCWUv3ejgXJzQo6V
u6pYVym9TU2e13bGCNQMDNuWupcbnv5gHRV2s827fN5VNTb+WO96e9qyFCmYIkBEIQ0zkYhVSMU6
LpBqXMYbhG5gBZCTMYvAT6cVZilSs1lrznKtPqu1Dm0ZxUFqZRr+o2DrIFabkvFd+DwG0vpp2ywk
DK1rEwjcAqdmuovkbdLat4oUPHZK6OHierolwZtRZ9XdRlozl3Q134DW0S1aUSdb76HWGjsPsR37
zbfJs366iPAcrcYrtC4P8+Ch1Eo9y0ezV5lev/FaDj38dDcZoDVC0rW6Q6v95li661YrAEu/+lJD
ecy0NlDELAqt0TmmyAZBQlLS1gnUcSSFLtLCKMbilHiPrA45n43gvbHMnWhz9h1FeS4Z7LpOduf8
npNwsZX7ESfGvopHcmbNfhNW2adkWBMRxyO6CQ0rk9fPoo04JKeBK1tn5Xq7QTbP2GzcVQAXwcni
bZXWN1Jy1c1btzD4MQyGqi0ij9H7MGZw5kvp78N6fgkMuu60pg/2Mgtlfl+xxC5RlXXDV6YItMCu
too7Wla1MPvG0EP5tLBItX5kvW9gphMoYQ1sm6Izq1PF673BXDmdg9n5uVDFCk/axyICNJD28jaj
ZiZuROUvlo9YewnC5mZ0k1WLSoXgvy/DXb7SJgjWQTQ1TFR7m2hpC5xzuCmS8aPEk7jgTYyJ3ENg
smGweoKtd8acdG61mTHJmZRM+Bs5UD89/I5NZN4H+B8dfJCNNkR2dXpQWPMcnJL9AMFhItpCb2E+
XYyVnXZYVlgtPe257LT7MsGG2cT2uWr9DwN7ZoxNk43ZvdK+zSHK7mbTIHhu3NcYO2dmSzD/z27e
H2aMn1g36IS9H3CP98o4N9X3kEDGBsdxbdNTYRw1DQe1XfJgd9Edyd80KNDfyhwl5UJyY3ulibqm
mcWWXttRg/JgYk9Nsal2hokEb9x3ofNq5PGWBfcD3TBa7I4Znja6yvyRb/hYWAvNTnSXYYgVEB1b
DLIQAh+Ym37HugGIBgdtjOfh3I9VuWYJjALbdfkkWG45M95Iu343Bso8l/jIUpHbQ4LUhNXVu/rz
+IVJi71XVBJojqm3Cr2R6wSfL5P2lyWkEpIwYVdED7DvdVmkNPiD06n/VmvHsN8610R7iJ2i/AQ0
220gwp1i7TPOveEZvOoDl8PrZCWf8PSeqN3uzNZjX1+dIgzLttZ7pLF1ZBN3MZjVpbWzDTNO2UC7
nb0yv1bYnwHHeasBQ3Q648jEIN1ilA56D3Oa9sRaau1hpe5GCKF5ESONZpuM2brSrusG+7Wy22Fd
YMgOyIrdlY2zd0lBAfn6ueCzkU70WAUobCcDRYLb3dIORluZl7z8rGCdBrB75FfjWmlTOHqAAKUO
RnFRs0edYomso9yEKb+MgO0YStqUSMheYYo8tooHvTN3iDoAt6DI4vLa9or0PYVex492efHL/r3r
0mhnJBjoq7Hdd5K0lgAXypRbzDH7iPU13vYwrctb4u82dX0zaNe7dKdLpH3wg3bEx13wnmORT3zt
lcc0H2n3fIKNXmg/fRPqkKIUjz3QQ2YJ2O4D7Pdp5INiaZEwZFjzfb8+yWFOEZ+CQnCw7wtpvaWe
Sf5t1BVHzqJxFRViWPvY/mtH2VhgzfvBL86kGGGwBBHQMfg9UDl0DMgW0JrRgwIoIwMA91UAWcDm
Voo0ayDU1AGMRfqMm56aZdxhGProM72T1KwCA3OGL6AXNGAMGEowOyyNS6YJB0qzDrIAb7pFn9AJ
bIbe7L77YXqvL3tODnTCKr/SSIU75WKHiuzpIihiss6YToaXnQHjJ6tJ9cXWwM6q7TrJNH+NoXkG
jvclcwb3svnKO3H0Y24UItmOxHF/kIGIyL96CTvr4CNfWmkQQtmy0q8rG90AKVx6TFTTejG6C/Um
wGwd/Ku+IDcxfq79zTIjXhtYVJ2L+jD7cYTBA1LQFNdXbE/Rfmm6d79T/tYkmpUYJXE0TYflaiaD
deuOdyboI3RtqONTwKm1sbe94WNi671l0fedPPmSaVCdbexy/tnMy1mb0LdSlF/RUOgddPzOCrlB
ZHdJBtMhTaE/NXXRXGUGFyazxXSa0vRHUuRnIn5bxtUsZRcjGVdDOF8gQeQnEUqboWcV4ICavVUf
MqCS4GQjNFPTbHsvCB64zBRZZlOYHmvZvTeBPW8gN91XpU08aAoFwWyhwTr+KtYFJifNeVTYog2H
DI9eGdcaA8em7Zx8F7Ij3IyFcrj2xvDqZ/CT3JomYWWYhBuZE9PNWqh5N89VemytauSwtJr/4mb+
zWfKoITBx/8qMX5SZYzLNFH/OmH5/QP/mLAEv1kMMNDuarjM73bSPyTGwW/8P3w9JMT/+JM/2Ozm
bzCSicXjHwHH0kT8++eQxfoN3CC3B+pkDyJNAPj4P3CaMrL524zll8DYcwG0B5rvhduRL/VXgbFZ
LMqOVEKUUJCEdJGOsQPr+8OUDIdD5WC74j7dSFO0TDB6nyXBJE9WnDF3qKYcTl/l72U4BWvX5K7n
STe3/jTSVPQz6TV2M26J6jL3xOa+itSFJxwNzyjc2Ewbiw1HomU3CpjhCK4edJMMt3jvmKdIzuNK
9P0lztFAekM4rZZ0EBBkcsazaJ/2BeHaVHITicCWEUJ5w+1vJnp5MUNmL2cfC3ZQDcfYw3MN8YoM
n7oZd35IL1YWJOrBVWjYbgJLUJPxsxwlopNw0EJTxWIgtjFhNUOBPC3+2eZhvEsWog56fcjGztjT
jUbwIIrSuqRN9TlOcHUWihs8UexcInkTVyEiQ6f1VmJxo5vGA9/G6TQcoTnOmMrIlEiCzGG5LH4W
8whazPUvXW13GxnggMLuT4IDqcznpALF0bX2Qdphzp6o+CylAlJadGTQlWN8LoJhZzlYEHz7QxRy
2udZxS60zFBFCvgf5DQnCeHpotkBi8aU7iB8DSbjvZ2W7wYNyLqq5KGIIf2M9MM7ZO2fPoBpeyJ+
b46jYCuQ2AQcK0yME/baKvoivuPHrHg97dBCF5JSalTyzhRkwqReku7QAd3FoNb21jJAwmAIjAeE
/jQ3QVZX8tYcx7cq7/q1rOlY8bRyY6lL1RTec6Ic2hmAuewDjefWwuqrBn6SojWJH7feJpUyfjcp
QpwwVhsExByy4+ACEjMJkgsDUmlegjK4N1CiGmF8U3jilUHURyOh1Xjqwx/dFxFn8cFLWaz4GLER
ogXjQ90g7a681HntptrYNpLbWWThi0V9iZZXvXoM6dlDwjYTpFlvaEmp9bsFBxCL2tkbH8yKffKQ
FQPxL1AJBi54FPgJA4E5prrs3OnsVJLwPgopxAThR2Ymn15Z8rkq5zDmk78qHMXWzRq7lRoLb1un
BFiai7euyUa8DwxB/J/N7Es4DRP6PPtqm7rfW4QGrxpv/KxgIe3y2X4ae/FUJeyRm36ptyO7epd9
04oaHBifi3bXNllqxZXwb40lBLvizk/snXnKcvbEJX5gJAo8mR04FoNtf90DxxnGp9R2NsiSDnEU
oR9tzFe2hOfIduqLFPMupHFJVsEwxtt8NCmudY65F0wviw+BphhD8tQLtuqQcqJVOol7g3CitSAS
3chSkqm6YsQ3WBb3KL5x9eoM9Uqnqbcduequge7tV9T61JG67rTkr/tO4d10OpOdU4PSnVDUtbdk
CP4QEUO10WuW3kckKod9VgQg59yOrPea7EiRIdPqQYLsMp0JH+p0eKdHe8umpqTvZ5maM4vtUNIQ
I80SaSJgPsmIGTdC8yG2/a/Yx8Q9JbQTmAaXN6UT6pGcmRtw6qg7dH69ZVP6Ks/+iNP5pdYZ9yZh
9wGofXiCw7Mju2NROd46MefPcqnugZ9U6/9uRP51I/K7tcfhbvufTUFr+pz6c0r/HQyhP+7PC9sJ
oN4GAHzxkfxL6jKAdIdojtBGIKkv3j88QQYBg44ZcCnDCQZPjtHtTzaEYf0GUhhAHJEqps1//f/o
xob7+y83tuuaeIoJd2ZnA4XU/Zcb257GejKGmIhBpo9q9tmkB3fEaj35WYoYsH8J3cxdizm777EV
R7PHbtIGH5RxBEX6OuD6wCXMSiQziBQtAxrHxTW4iWqeN0eWyfekhKUuvepxJI/CFnO6ZsUHv4tD
iji+ZRPk2ee4GHQpGMD9BjpNOyfzeeolPmKSfM8+yZ/rTp+BfoP5LWD4u5s4IO0uQ9Fis0PWZye2
enMz/zpP9ckKJ+FV1AjEXQ7dWp++bIONLZpe5zXswcqlopoeHBhxK6FP7n5sOcM5zA2hPuYkv484
5G2sCBGHvh8H+1J4T45FCMGvi0FfEUpfFkteKLBfXCA5LluI686bpy8XFp4eIwDvpuHeWeIhZE5o
cBXpS6lT4wXH8n2qryv6pH6dSfU2xvktirh8XXO3FfqSE4Vbnio90MYDceflVbqDJ1MhRMvvgqi/
syvBSb0EGcBMRERp8m3WV2rgEojhccum6G62Kg0nOl/xMVX+p6vGehc5cYYUWR7ihOt6qOzvPvf3
IAh6JiCxOE04QW/qhTUVzQ0K7zF7YTAKGhjwf7DreXWvMPnwTBVEtcInYs2TMZcWA1yhebpHJMQI
L2lA7pBsu+Z9l3Hq82Ly104V9fNzXqkZ2EfD/NYANqQ3+NssJ/iZaWaytW166Vw3G+RAj3e0dpBI
dCti6aYktmhPxK9OBb1EtDJ8P7xOupGJdEvT6ebGWlzSULrwKnODH0e3QE1lhueErqiUJoQB3Shl
Ir6r6ZwiOigPNPNelm8zrdUcRvdNn+y45d0V0kjvJVLjQ0Yv1ummrGwU7VlD45hXsWb1WfmJSTnm
CzCsqW7srI79V0qvN9PzYWibTpluA1vdELaWwkJOi+jlNeuiiYpYvkfMvHHilV8THq5tS3/p0Gcq
3XBmuvXE4/R9/tWM1v1H3Bj7xkcHr9vVrhFPHf0r7CYf1hotbcKexdJNLpgX2l363lw3wHnSXqVu
iRfdHBdGs41Rvfu3MGOataW76Uj31QBn43Wje202XoyAI4EgVHfifpHcB7o3h8V1MGnWAzB8Ic27
6/RHPBJyRfL80aK9d4b+20S7P9D2p7T/FGYoz0k61nMBJJ9MVfzsnOuZgcfwwGCIYPO2RCvOXGFQ
5RUmGwHieHkdI773GUH8KpNthhK5nk4oFzBjDaFxhtQ4aWRjNpX5TRPmzAYw1e0zjXbsx3Q7+mQw
60UichWyKDQIcrBn+zhoOKTKUS7lY43w1O/uysp7QuDcoeCmkmmT2jxkGjRJmOJzV/tAyJAc3rdA
dgqe4zb/gC2DUVASrkxNdCZ6xMdd1NofNtaHPlI/ktF0do7VEJBigjQMyqU9AfgsdlHF4Gcq2jec
7BMiTQyK02Qyt3Sb+NSVfX7xVNOdZWI6AEiIH+wgXu5kUnQXVpLjtuhQarHBPpfw1TYIlaeDaTb3
c1Zeetf8abbRe9tr+VtaiaPwVHa39OVjnkMq9JEIMzIlk7rP3t1SgdAMolffD85i7k4gbrNtWMY0
BGl5siaMCmUTbQdvMKguzfDWX1J+uXMVAKV2X4EENCsku+wg8f+sag9SV+BzmlLss6UTDQY5yh3e
1hNeJdtB9ws5VCSnSIRPM2AFq2lOTW9Ga+giHU1Udi0KJ9RBHMclFDveZ+dlng+Ni4UnEm9BIl58
0z2n0AIGa3HWyVQ+AMeeSAGTzUNmO8C2Rvni2hgCQGC4j0ZQ7aOQDgsl01tb4k7hrjX2LHq/RuVf
ykydwjlPz2HnPY6ta626HjKyRGf2lE4+8OjSbTaeAZPGL0rQJIOJxjOpjXXKJHifVlS0DsQ6ZsL4
HuiRWAH06gUJESYu81hF+c8FKWRTJvaKCLGJJ6dEACWZafrGyGgwfUgGpoqO8eYWmnCceVTDdfKQ
GzFVZUXUCOqptjOLQ+Zb8QXf4c3sNa//Lej+/wUd+pH/raD7bNnS/Hs5pz/qj3LOZ1pCHScY6ISE
6v6V6hv8RhodNPMA4JP3+x/9YwBj/QaG06Oac22LFASSwv85fqHQw9iNvIXJTIBWmtLxP5i+8Gb/
Wy0nBEtZLAJ8a26gpzA6l/qv05du8MpwgajBCBDwAiZwwqiI+Fq7hfqytBR+QhPvaHF8MC7fmsh1
8XaIGiKQ+AaYuN5mFtNFgbqe+M9vCP8Z5o45wnsU+KKjeGsy+9Yc2HuzVUSYH4EDylDuO6pLtz5O
0r2qmmVTqp59ddwgsmkR/SvDz+5FXCX7qOcrFouFv8P0bvi9RAemOGw2OmysNSNqV5sKZhEkwBuY
vo/acgAB9xKP1rSZQXohTMaYUCXJRxkaNgMEYFDavNB0NjaGDoOh0NYGgcfBIDJo18aIEQJtgPBn
YF7aEiGj8tjikYgSQ7EPL8S2SyD3sZ7F8KVNFUHNfiZq7aMp4LmKelg5QX/A22haCDMw+nIIuj8x
5ITY6aDDV68qnQhLNmaWQMsjCWtUyOyptv0pyQ9LGVIUICTe0qXF8dYkCnDASk2ALJpn25ofB1Z/
sPxClhtz/zQE3FKLE9wngGF2mY15Vk5rQlH3clyphnX59LNIjBMK08j4sMSd6YKYWNuPUQIJFIVj
88DHXuy3tqLyHc1tAU686Uu07oMf344zerosSqjz+8AFFjweqINLDEFvCZbbana+wlk7xSQjrq5p
CBiayMXyZbW14i45OmkERMgq39tgfPWceuNn8TckUPGmA+2OzNZ4rArvCPWTYZh6Xxx+IYI3Fkiz
VTRRlKniqvTp5zH9E6L78Hmxw5Hlaq4F8Kd+6VE3Su+bMSB1aBim2KambBjXMUI65dfzRqQWxs4F
XTcOiQ8G+7sgMa5xVmyTVLhw3BmhmEP0rG0Y68GIaBOmJ98unEMwWhszmW5FgqRzCVp2/oNmAYer
Vi3Z0ZxRl/rTMSdmbJtIdYdQDBEocQx9iCsvbXv8J9HMa80+kinPgo97aHOLOCjLWs91RQqdmYEY
LaiX5lCbWuFiE2a+ID5nemYU1oVt4plRe6y1nE9LSsZBirzJC3hOCsd/SwE89ovBiqfDTd5g0BNe
d5ot1M5JS0AWiVOuCfZtKNzbJkm/6lrOR76liqI1XzbMB8I1oOgYgu14jVv0PlsvZtFCKCCysACJ
jJYKza06DjqvrVJmsK2nfh8L68UZxMZvll3KNHPwkKNfY3+HYfhcZVmxCkuYXGZPAaiG6AaljbGq
LTQnl8ph2juOV6UCtDVXL3ZW1vIiO1TCyWWeAb2lgXqaW/Q4MaeEhuMjajsEmF2RmI3eWrVodL3V
7D+HTDA2JLysU2BrFSeMyxByVbBnHObmhBT2kiwUBpTF1KTFyWvEbbew1y6ZXk09g7C0OU+tYjyM
T8i2d0NLpPXSM4by3MOCfNo3wsdoucNJPKGWttyXpQ7Woxw2SEi5+fnr1JJwRKO835FwHaxgO+5Y
pBUrUX20EWaogxHYHybWbOaXdyL1H0MFRnCW010z24+c8bdTZr5mFsWGUmJrFNRg1vDEw/ZkDfW3
CkHfqgzJRPNChy0l9WBvx2fUxDvbmb4NlIuhNluUMP43FoUXKuF9oDdrZYe42N7X7bsS7ilj+W5M
7gXYzx5+FGlyIrv2rnqY0++NA5RI4cWICPZBPOEbt/Ys1/T/Wy+5H+IefKnL0d40zU3WSjwfNbyE
AmeYG3k4h4azFZu3tBLbPhnu+hCQV1rhrS/u8Ds5dXicTfsz7J2HkClB0GWkCBIGXg3lfeTyu4ji
9IaVSLQOrfEePc+d3dunVBj3HZyMalQSwUjwahbm85zFDJdxBhkCr+HcruOI92aUPrTYAYjrSFE3
Jo5J9dUPmzqP9iazS1yuzaWop59aY+K1A2+kiDW49TyK+ici54oVpnpbhmbaeEtzIeVnnRLgwHf0
UMfpxcr6Q9OVmw7NChSF17xmjtmG8VMk3B9R0F3cSedtOM0qksslVM+1ScpiKaOtaSVYzAbxifjv
W2xWH0YyX11SXfF3I+gBCf4ygx5eLRGDQSxI92QNPjIUuqRLOK862i9ofvve9iP2vJjuaCVfIss+
hlb94HdFthIuQi14ecRWfEcDch1keBwSPdvrsHEqF+dszY4jHCBD+Oojp431cXI3jT2iUZRns+/B
ED/NTnb262EDDN4/2mMAWBt1Quqlt1Efr6uhWbtu7q7yCZl6QTjFymzQAFjtvQQsyMVsnkmaQASF
1qWVt6EKbxM08hBvuzfTKx86MSEqh2kZlvch4emTtPZJh0icFE7cR2pcocl8bAOLcAr5MQ05etX6
jo7yRxY1x6SMX7o6vsW0+T0qh0sCymwelmcO2j0Kx9dlru9aR76CqihBZqMdEzhZF3FVaVGsJiGL
tWNlD30Bu62hthb+ugwVY/AqfQTwd1oUXMAgIvRkTmBUTGuEcazZPfNjitRpmCqkYbV3V9rtsdSE
xAVUYrgULxJ0YizVxoX3scqARzvAFXEpbR1NW/TJ+IPv8daCYYxJMbQ0l7GM4AJoUuOsmY2OPREX
mLzIasRD1IMvwU59k2nSow/y0QL9mLH2FqAgExuyFmjIYe4LHLrRbVISA54X9iOLrEvhmVhq7Qua
bShTcCZbgJMW4EmhCZQTKNYOJGU27EtNqGSY9u5j/lkpTa/szJnDAr2MD68PHe9OatJliC8G6Iyz
YS/CgCIXNxNYTH59PKFaMxWUN4MmZyLaZd3gel9Iwvqj0nxNhARQFeSm1S18B4IzAcU5aCZnVpkH
YfvFZgbXWWpuZw7AszMZNGiiJ969agcsjqrDo/VPNPnTk6gvhKaBcvQvyAQghC6sBtISyTRn3QUA
Zg6rkafF0WRRXzNGe00brcfhpxEXIZhqSKQxSNIltXmxgJSmmlbagy3NNb+01CTTFtM31SxF44wb
1b/1pvQsQZ8aAQxUoWmoCiyq4cBH7aVrrTHR8BIPQ7F3B0bwNa65jaPZqiAHyjO5Dtxkmrw6gGBl
+xhRiCqggxoFMmhSq0iyZxt0K6XAWyRK4CfiywLtCi5n2Zce/rUa7Gus+a8BINjGwV5iLwFvbRix
EGEvputBjdX82HH0gWsoA1SEO9xQecW/Rz/9l+n1D+Tz8fv//T//GN/Dvvqfx/eXz/pvOeh/fsyf
vR6GA1q8kBH9Pxq6P3ftjNHNQEBwdj33F+75nzgvGF/s5/kHYyKeec/6C8+L0T2NGaN7AgDxEtue
+E/aPYuP+1u/92vbzkLfo7n0QZrw77/3e3brLvHUd/Nm7mtA4Ok1ht9pBs1PJDoaGKJ4X0Z3Q0pZ
Qz7vnmn+N1w0DfMi3sDlnD3YkkugTTub9WTU7W0zf3UddMZ2Wu9rQ7LoNrZZp6ABdAPa156bLQE/
wJE2ndIYIMmQ4mqI4+4w94yB88Y8Mabs9l7i6JIHAINDZ5B42ckGlAdxQLAeD7zxkef4BqnADrXo
BAkooLwsnxKyTMwhPiwTdYAcSrFLAAsDN12aw5gVeKVtAoK7AeJrNVNKpvVjXTZgqccWiSDyt73f
Dc+sFMAQIlgnvIbpDXkkSZTtrSy7KNeAVuGWYHxAJ6Gwz+Nw2EqisdOA8hwh1DVYxva29Wnu0gQz
ZO3ay+ci8TU4dMPsLkJ+LykywCgG+BlER3y3/rrtYzCr+ZjjTXOzlTcSbFfh6Nwljk8HmRVQsqKZ
YXxKozq4Gw7klyUyy6fQ74mRrcaDUVcfaQoRuqnKA1tE/Meq9uj18m9MLr+GwTpnTK4UQEYyt0yu
tYa7XA54wGIwqyTQp551tVwB6xTUBETWR2tAZtQb2n1C9AVdzZh7exU5fGWdnxL03Sboiju7CY8N
RfVkAkKpzfc2qyGHtsYqb/EM5PRdIm1voXNQsLTqSqjSQ8mZDOKmLLd9TFxCP8/Gyl7iiMKcPbSL
LnVt5RJl75x81hMvuzcs6GbRsOe99xGHxdGvALJ5kcaOnRfs2uu2wmjdzP73KSlf8z68YP26VhT7
+zRsvQ3kXmSleUjPbJrYL5l+7hYvKa5TkK9Hqjir7H7QKJG3A1zNNAT6UwAShSQijY0sPX7+XLvO
Xe9YDNXmeVtSwWaR/Yqs/6MM/DduBnz50nm3csQeBnCM3jf3PYoKkHjIEnLJQBx2xs9MplfDRjwc
eeHeNMJvlYtANk72qu+3bTudCwHzwYGskRvG7eiOe9nJ+ywzgGLaeIWYeddYONcOqlRcNuFr3GYv
fTnfxuYwrdy2vXOL+dyGtdpZFW/UxT6hJTihD3jsJuCcHZb+UJKnU6s7HPGbLG1+NC4mx6o7mGlN
IFN7sYr5ELb5fkyrdWUZ516ED21hbLsiR0iNYnB0F+O0pMaj6833VWA2VH2szmxgPBvmOi7EWkNe
iI6Dr1OfKtpj4mvltpceRWWwy9Nqa4phJEak2MZmviliInuj8qeZFRcjNt6nKNzEvvvl+ePOEfhz
bahnkoGK6yF6RTH/2XtlAIUdFBA7I+MdYjtaXRZWl0iQsMRDmK5lFdZgg5mdBpEsN7Ip3uRYv6u5
eDRmZkBTgr0exO6yGsOUZZ6X3QFGvVII39ZTQEwC3RceMSCtOCc/zbrIdozvsmNpGltnDJ/jOpdH
VQoLObrLlFuK98xm+mVU0Lx8Zj2rYZpoPB0/Oaa1RLIBFQek37BsTM855FEybJLMeKj4aHBpdbPt
O0xGo4x0Lg3mikgm3neMs8OmENMbgyZG8hjFLUEwIMgyY5bfxODfllKe+xJTicln3BnVsvPS9BMM
xq1dp8/xLH8SfMTcmULVGOsvqwneZemhrA8R6nb5HtD2sRmcgz32RIsW6gYC1ETuVHY7JJJXbql/
poWFCpolRGFlqCSz5Wtc1Evejbeqsa/oCH4M1vioPOOaAs33wuVsloKSmOFekz+SUP7UlWpTpoiH
FeBlUXQZewcEiWV/XfhG634+dCThbWOVXZIQ9FCf+PuliL4vjvwMJ/FW0i3aTrashpjqdDKcx9aK
b1QELqlpxm/xZJFiwmFDr+8+L0P6gzMUxoN4sWPvxS2Cj7kyT3bjXD3V06crCEa27G44zy/OzIBu
9ihJk4wxUlhG1gpA9W6hw2grRvxpKpudm9KIWH0ZbdIwOwrpM4lKO2cdtNP3VjjD3f9j78ySI0ey
JbuV2gBSYJjM8OvzQKdzCk4/EAbJwDwDhmFPvYreWB9kv+rMrNddIvld/VMSEhXJCNLdDdf0qh6t
+ypbZ7mBeRgGVwACvaySB9vC1OsMP9zET9cwcloACMnBi8KvegnSmAG0F1s1/pogL3cnJd68EuyN
L5MbumdvIfqcptq81UbNP6r1P3UMG6lLrkLZPBbB9gJNdhtsH6UT7ecWqdD06SHw0YTgCRGvngh0
8ygUGWZm9dglDbeb2LC2DqQ3xv35e4CyVrpVA1RH4Ict3C31D58NkE/+wnJYFVxu2rCLP/seTvjc
kVMbyONtDI9eyXbAw0uk4qdRtdAw0wRjtKzVLRz0ZJ92quHMIxdIdAn0XadRa4sCH7FRm9uh5IrM
EG7eeuRtDljLutU0RcgvYNUtM2gOuSPIv6fwkBUGJJ7EDgu9jkQvq+xDFIq3UTv5fRPVX1nmbyM6
wfNR7EujuXOmatpPoXkH/AwoWmOMlLEowW4ftFfgdN0GiifhprQwz1NpuHjagveoci9B2TNp9OlP
hwQoMLkE5cfxo+WqFh1MWf3ANXyscitC0Ybazb3LIScpDmYQXwWhYoQjg5qeqSYZHvE6h7ilVMVP
soZnI4hU29QQgArizcGtc0NXA9KoJb5gpE9r06RJV/AD2ouFsk0s6z0J9Y2vNKUXgsfggI+x8Qhb
aTcGzNfE+lINmb318oEfopXvehpFIXVA2clnWiRscPyROo0pz0ZjNulHL77mPHvMAwzfiRIGfvOa
IgNn/EAKfJILeoUfB/YBRL4Vd4fvpnbxAUzqvqmWSJOjT4lbVgCMQe3ZoXtrBuauqMp9MYB5QKb1
+W7kPg1CvPmOeWgT/lyT5OKozfrLIJRBtdZFJMFd1je7vq/OWtc8S/tuVY3OXUzGJp6yN1xTNA0Z
IR7B9iHjDpebwy+zm5N9nnu7ufSfZ1O+ywgGRG6rR3sBDgbgNl1USXpIr13jbCsTwgrh1DWpB8wR
Kin3YSf9U4DRbh/p7IfO61vHS75LmwIkajlvgRF4B0Q/smNh1wEWGcCZmoLnYl+a+a0f2BDcIJEY
HUQSyCQFhJKS9RwfdecULPAS2JlfKTSTOmupJmDVOZCdsBfgiStmjq5Fl+tnlKkZPtMx8s2fZlqe
TIgpVmHeigWh4s+i2LEGRn7sFWi3mHAfxJWsMt5HCCzUGZA6W6AsFXSWaYxeqwXXMizglrAG4UK1
FU17DoqbyxAKWCJ8inTXnewF/lLNHinc9MtPBSQflQKh9F+mBRgT2khJEGTSJP/uSvPDHJgjZAdi
BtZMVXU/+EeENLqMNM5BWl0RKWOfDaPGGbS3biqZ7WqiiQQ+5h8GrQ7pgrYpSNnwj83u9YK9EQ0A
HERSglELFMfAargSCyhHoSveTQs8B9oqGJ0c0R0gLfUeC2QnKKgTC0fAO5YGwdMTgFuNqqYybvJv
qwXU46SZ2PDcyQG8EI5rLRPCG2CfNvV/pNX8mS3In3ixJtgWPNpoAQJpDEsMmqnHjaM8WAs2yAxy
OgDIRA4LUihy22uXzi7IGXBDqIbswBYEUdkNn/UCJcqhE8kKTNFsuMFqTCAXEVBdtYYVr+kPp54q
LUgSdgzy+GB4ivbgFIicMpGzjFWHoeNxYWPt2ExVP7xP/BAIluDe7djKIY6U5O6Cy9BDpY2cI+2W
2COW9HAmelLco3hITJLFcWWVG3NCs2+W3DEvBCbKrGvWzhBdh6q9Dh0p5XgKP7Mlt+x2+bUX7J+n
JdNcLenmCATZpkbp4MdtYAskAx2TWFz1Frno1A96PrKpf3QITSfYWUgsAOWg7oy875Ktpr4Tc4RJ
1k9XZrMdlwy2lUkHc5JxzYlnY368waxTwpAkuW0s6XK1pLmJNYoN+7blE8HcIVh70smoo62I6PZi
NZdiYOIJU4cNHOKwetdLcrz2ggjMC2ny2OxekyVf7hj9gvoic474BTVqyaFnSyB9SaYnip16QFhd
qumpW9Lrbu2rzRQ1P+owgy4NeH8LO4LXuWd4qH2xSFmxsY0IxTsem8sGI0GmaG/ol+Q816Cl/Y+v
bLKCgETBZdP1Ov8ks4jYfdNbcEtrmjimJZVvOs0Xoy2qN+SexKWPJVoy/M44Mv5kQ3zvRwPX49nH
CJ0DvOBsr9ZG2T1ZCiJA1cTM+22vqCfjfU2gjK2UawVo19AEPDcKr02fOufMzXIKCRZKFEs4Mqq8
3YiyPrsZuXLQxk+Tz61OLJYoZzFHJYtNSi2GqYwxB2IBLWIk6gHs+Hb6Hiw2K2qn0k1O+QfsrQK/
9mLHamd9Vy4GrTlZeuzqL89/yhf7lqptC4XXtO/bgL1nXmPzYi2EbUw5DbNX/NwvHjCmxQrIBr4w
3mjZqV+8YrgSuLgnJViwxQhuLpZwYKCYwys+qfmy8kp/944TGB+xLLE4wVee4S+niDA8S3hGm6Qi
RxMsLnRvzi7TYkyn+OybfU92NksT6c2yaG+OCSXGvntLWtbbSTzuPmWZsN5GTmOlp+0s0+HoFRgQ
mwGIrTBhCzs6wiaOd75YTPQTbnpHwXqO8NcXgAh4+mXWwWBu/vg96xQuhnwNlmfn4dGXi1k/Xmz7
TgTZx1+s/Dz4FRFT41e72PzbxfCfL9Z/7/cQgEiIA2hiByUN1wZAqZV2IuicRH90Otwj1742nfMd
O4p4eMb82Zlv/cDJOuU2RqKFgYgJxNMKnFu9L+TN//d5/DefB7R86fKM/3fS311T6rj4jD+WUuel
5fnjH9vsu/hL8kb88YX+Sw9UJjYOlD2TyZG3tcRa8V9yoBK/gS/hdyWkEhfH7p+cvOI37B1Y/rEA
O9IB9gVm5Z98E+s3lj/ke3y+mIcJFzfJ3zB/YNv9FzGQL4+NxBbSky7/4y3//5/wJqGqS7az+NRT
r2SW/l2faV6L+QzmcYUsnnZ4F3BcJkN6Tezxpa+q76ailaRgfUAOhNPGm7KV5SVLJw4TpBGXZ43L
fWehgrHstYgr2yY5hDShhqvhrl9lE1If5gk7iX8l/nwaJ1Jwo3E1M/9YKumvfZvhUI6SmqvBPzvN
R+770T4aynoT5XF+GFP23AVGuzU+PQFe0n3iyvud2WF4QBmA2WXXjCPqLaT+iX7b89Bi+AextgYA
ujF5CMfJzMoh2irc12uaBIjQI58lEtXLyHlWChUVeyvLn6SusSDwTFD0agbdlq/MvavfSlAgZNsZ
bsnPs0W4i4v2yP4Coobnfg6m9xCTnCdU4v/AJXkzTvElMueHjq7hKZ/T9UjXPAbDT5wvt214dP19
FU47iJ83UYpjJpTR2ragu1XZobPGraiq/Wzr58w2PoR3STCNSPeaY4MzrJukY7PPE4YG1sq/zqB6
t2Ewxtuw05L80VztUKtZfieTtY29mqOnghLX6/gWsazfdtoj0isrFkZ0PCS1c6vxldIidl94/Ypp
ucviJyehhajw/K0js0c7ShisRvjqk0EFMEwYMpdovduCNA7ZZkY9akkiTHkhu1o5Aq6J6gcdJBcs
zqSo673rDgCQhzNZL4Ymh8wP5oOuf6tG8xJKi/Av4ZgNYAZiCVGCa6/NLiitJ18vrWhtne371Lyl
t+KNyNgdspGxNWzvo+gLlobLuq7wfumg/1mm+ldG7QLNFWdbxBc7f8p98zA5OIAn/9QQchJZva8z
OsS9JX27sZ3oxM2MfWdb76Pq4EPFCWOi8OXLFBjlAaXmCSLEaajzHCpESICajXmSivuRoK8lydLU
4R0e/LNHFVv4nSPSSMzmFMY69Xs8YZE3kmORi59z6uurqKCXKo9FVfJQjK6Le4ahPTNKXr6ZgJsV
WA3vWusYtdq/GOY6StPHzkPgGmo/vXZ5xtRP2GlVQdHnPR7N1XuRaqzdZfmjhgw3do7YaOmeAmbW
HTVi1CgOxt6bSj5nfsTPYjDfc4fFKdycYD+IMDzPutkVebUddUSZlf+AGqrqYyUcNoIUcFHk2jjj
IZaTxPnrHdgJsxwgKA6EPhqwtvKTc2b/FavmQTjBdShDhAirvu30fK9d70OPPQbw+oJh4tgMnkma
y3tnzXjN5bzpqgT+yvSzrsZDpryrF9VoI4P94Mp019l6AwQOuMlw7iwY2UgXSIA4T9SJ2NgmZLbi
OFnTl7yyGnU/SMky7b6d6zMazM5Iu5supsWsNkgrWD8zlJU5sLfl5L6JxL6SGIAWEbLrmKtDzzVI
FWKvefXaijuv8cLtlzAUKpx1lU7y5U00YoXtTQJHX+rXKRLxirfFm4rwiFrll0dTc02mCFmYQI7N
nNuU+LXG+IdSvbFnLci0Kr1TMDFKkiewAd5O/oitaeaCpx1VrczB3Ki89l2OgAG6meE208G0824z
O7m9axGAgeabn2xp2WhWeDJcDxeVJd3vxBvApNZ6hkFAHbsFr7hlUF7LYOYDyHuvaAVfECHqvem1
XcCoDWxwhWZHb2OgDOa75inxg+9+dOmL9uNdriBsjGPX76JuLvaM1f7GY7yjRmq6IGugrw1qfhqj
9BP5+OIQZbeAbLRlQ6cVOg5/b0igngTIPO7c3LcBNqVvdtfciSIceDvmxaFM9DuD20ZMHUv6m8k5
9QGjctZtnLmhS3OwvvyiuUISPXRlsCCE3KU9gja7GN4f9Gt/4MPdTfLRyMofocXqI4vfdT/itzbi
2Lo3A/uKX52cATpCuETSH8u+f/ZHJBS1LIhpB8N2bkMfwpyF5ZwHyKtpggVYO81wEwIXegn7+BDR
ZXysbOLj4FwUcA2Ix20+nzAG9Q/+yF6Wg3WtG/A4vrZum862kBbi1km3vAO6bvf3J7X/nP5dm3Hp
/72nvftou4/5r7OZKUwJAe0PW677GxgXIkzO/85YWX/MZpLEtDKJSrlsR/+6qiVIZZoOpzcDmKVs
2pD4in/MZp5JTdKyyfUoc/LE35rNbP74P6o/CniXRa1vOeDtHMVfJpkV/zqbESk2wnpkUevZfWav
PR/vOeXV9Dp4zi7rRDC+pfZMQcBqYPMsaGeps0RLOjCH0V8lmPhPyL40F4wG119Exq1w22glY4xk
hEo8fjmDcuqU+KhiW51NLfTaKhdyjzKLfSjM6QyEzt7VI1KB38TRXlrKeqKcgFRBZlu7SabqZbRJ
546BR+DT7swbHxDBbg7t/pDaNIxhcP2wRujnEprFnk5M/m6Bda5MAa0/xCSRJmN6VJVFL2B15xAP
2Dl5dTN62fQ2FnN0TGx4xiBaumNIMGhvDb7amumg7226La7A5Oo9SY6YLrkYHlExpz8tO3O3gNaG
J8gS6D4+JSkTybynEBYrFJpEn8BoCK5OoE5CgUobNB5tw9A4bnIIDUD9WJZKBoobBXJm06HPkTsz
fcolrOAyGSPEUyoZiKvn/YccwvYEcbcnMTRycpaFe8XFj8QwdumtSJJuU0dTdOvXBRUyDitmS5vB
i1dPFZApOT8Gyum51vbgwvWgb6GdIT6JYiZ/jAJVVICE3KZ0DyMCKD6xSMZ0UbTpkWh0s+3GUe1G
H0k5nfxfRaPTiwnHf18kvhkD7DQY8jJj3BlzOVwEzQxr1cn+lE+F85gGFVNmnjvIqwNFv2NlndsM
nSKamu48+gtE1QBqRyWq3FmtnK/UH4mLmZoO64Ohf2eYDF7qwvQJEkcFOdlmCJ9YeIWHpAxRYP28
Cn+UUSm4TWfz+BGNIA3nNLHP1uy1ODrNxr1A1LbZOLmsSJJK+O9JX1qMM7myli6d0N0VvOm+7UE3
GwcS+kNe4lNjlRiy/ZlSigH0QPSCMJ6Fbc8YXqe6j2/wr9PvUmLtPBXoH8R651C8V1NFujq2W9JK
hllUODPZDvtUSDHE+uGrYQB9Aogd0W/ZzT9Se7ABrJcRNZfQnkXIupO/q9jGjT/yFMMtyM5qJk+8
7MV9VWaKmsMdBjUhg5yFs57yjYgM3kwe8RV8D5m2zogUBPMMNZyVQVraMUKWU14HqK5Py/jeo/yF
8Bvdqyt3sSHUTjKN63CKtukAjkgPJJfMLq6vJFqGHepNjqG6sFdcd+DM4ovQpdg1GCUCXHWPg8Bz
MVMqe5rY8CzA/6g+9qmXAlT2rXOBmLEdeViGq5qlTUygsPzFcL9x/fA+bQvyzjbReoMmk41iZc4S
GHEiBLiwEkubWmjmFIuAaSiPhuXzpSNVlT+LGiMJKxT6xrCYXMsMk8XKmdKxB4nkluUl78rxHVav
/i6ko499Y8DPpWYg1Kuwl/a1pf82XsFszCgJbYII4WxuiXEmFb+EP78vg7HH9G1ptJPim8UFY6wS
iOAZGzdjKNCwlU8LmeXsgrDNv3XHcjkJJ/N+sFgHbSKnBX1AV8d47vMEbXjK+foJxodLldGjpcAp
bvva85+bhVWmrX6yV7Em4LUedAqHoRG5fcPqvH7Bc2suJriCaD8lKjukTAzerTsnGGwq9uWrxHBJ
QjZ1nFESpQk5+O7UED1PKgamCCLBO1cNGdL5YFXrCqvCA9qfXMcGEUD4tnkJoCtnGlKpK64NV+iM
DskqvDGR2dmWx+MVwHt0qzIzQQVNg/FR4b7Z5HFVAmtm/5a3g/6EkBV+V4lIdjFwI/TbZtSETBvu
Zik9x39/GLnE/wklkPa/JbS8f+Rl8/EPLORwcOPq+78HhZb//p/mMfUbz3jPcRF8/kUtgoWLzcCF
t+JLBgyy3H/kvu3fbEegA1Fkg7sMNYck+T8nEheRyfUtDGnMJQ4GMvV31KLfbWh/mUgc11GMPMLm
4+Oxxmb4+bNaBA6+luBPISsUMAhapy4JtkQ/PRAjeI/cl7CKq2sPI5PwXMIp5F7MeraJA5W/yCsT
4aS/FavkmO8ZwKp9Nxn5nobYh7psrjOMCpCoNJs5k6pYd3gaySO9guynUz0Ljjorv92hfLKmBrFZ
Vu61LRFBHSqjjrYtzbUWoBPDpIIIm1RUwywXNzDipOJa+ytKxJdfKXbYnMSbwgLYZBLMXAkKTVCz
LOMSTDySRvYWtKLymBgboIWuY0PZ05gagBzam7Ec9dZhwKHkZsLB2jM30ewj4VHWLff0xkq22Ct4
iOAVWBF+Kqlur+HEUzvn3TolSnM0Di/OXG655nOJIQBt6LlHdV6Y5iJ5wjjyy7FpPBrTLwy1FGXo
wl7XRL63hcqf47l2sIByqmCom24SPw9WKpTDofHVEyc+EPnShdg9V0BuAXUvnN2N20UfdcN/4/Xq
qeipZshMK9rHLU4pNunYZQ0CGpjQPrJBBWsvDIllx04IQwJ1Jg7Kk0hDRo0oVlths+4P++FXLGLA
Xm15ECGpgN6vRsoBPao6tV0hZ0l5UJKxqYxTDnXHfK37Pj30XfrhcT9CQ0g/0tT+ycv2wzTGr86K
o5tWAjGrAjM9wLW9eOB39m1FdXJgrxo3j3Z+FMqNTEznnpjNuxuYX7lobUS2LnnPMjY7RsKGj3eX
PBHKwZUMS/3NKEsSVGXPy1G58YG6FfMmN1/R4veOIV9kEsfMLTURc2NxKzPprgdqCrEhF7cqEvdG
17yZJQqoqOWj2ep5NUVyvkjDG3+NhvvomNYujXK82cNj1i0rY5UeG7JfK8vn21HmjC2sGtujDMgs
lTN5Ih+un9Wa7zR3E6WgKB4EDogCuU5rW11o+D5Fgfc55kF8Y6mRSsamQBIK8BUlFGdCI/HVPpkT
/1KpDO7NEAQnUjjFijL2aDNH2bfXYkjzTCqI0ZAhuQxYOni635dDFe6KkcYur5GHlDTFGrASnoch
vKOh76unDng/KTbp+Ux1WTgBlkxoQFvJriMNQsaYrbJIUDlwso6rwSsXPLT9Qv/kZeyGp9nJ5lUb
JwTTNHLqnKbWrjDne6NiqMzj8Ni0LZYJmdJnF6X+Da/Xtq+KG6uPn6lXwz8wuscgLBlzqTH3Us16
KJw2WdY+0nNrHzq3fmhGjztQrq+ct3CVUOwQiVY4r9nWddYF8LtYmKOQWyICaQ6UA5wuXF9iXwsa
MwdxrIci43KDE8rvayiPUFZW2s8hslbS2FVhNG1ql5h2gSi2mkK8mezO39m/O9uIcQ/9pDmPQ/dJ
0cA9qyEk0bF8Zel71bJ/Iz7/q2+IQtAL+dozFR8nyyg2cU4uyY/EdJ1CQD5dMYPiS56HOAPOM824
63CM0EYuKTKsJPsx5sxdNE300RmIfh3ki60xT6+zAUeKnoWHXJeAgtteIqPStjsSIbEWXKtwF2+b
6bFxT5zXhOSSORQReWCIUyKdnpnF9MYJkrdRGrAs55T3SXJTtnm4DVSf76o+p8K6NtTLMGe8WahK
walHqqDoJ17RPvyRjgEWjKj19oEezzFnyqUBhfgo5gqTZZMxpqvixVxW4SIl+pZ5C2hr8PJunwDA
BQaAX0lW/s4ke3323Rwqx5gQMZhJQFX9Dx3WZC84xtYDBqhdWMh+0yYk5/LMo5k76NXZoFNig1Ee
NkT+K0ibfmWn7lcFFHLbakkcuvRyBFEMtZaRfXJ35NgY7V9ZRqX6NOEgQfP04QTg2Wpb1rWFdyI4
kR3DnAYZIcdoXfb0bhfSY/6EBU07fPMhENZwJjOdwx96bcPxtQtZKyY6au9pD9nSpQvvyrVeSji0
u467VOk0/VoONt2k3ZSdnBK+yUTJTpRgb6itfjzgS9DbooIrUAD6XIEwCB59zXrALEdrk1BxxLa/
S9YsJp/oBoZcHqAkqiF7BNbxGSUFXVMTPYhhQw9ZMIpHudDBo9blut/QUafnG5OA0JnE3HcyOVRb
+TrZswLgIkOU5wK78D1jN/zcQzTcO01FMrVQ9PVOVMm0rStO2GCG3aCpVXXyO2611ySDj2iqU5OH
OA5CvqWqm76MBIdoPwHagHl03/XBu4WRihxxKxB3ia0GXhbtBq4ab6lpHfmF2gGkfpvw6IDf8vFI
NGOzF077MyizN7uo7my7JAHjJsBfRhWsauHcAErco2hISL/mvOODFD9hmhix+1IdElRCHdNhprSi
SsJjnDGsFzD1j0Ca4E1pN7prJ8rygtwfNwGj/4cd45zqy/hXP3t3CD7DCZUPjCa06R3+/YZoG73E
/bB0cfIsFXgT6QCLf3ZL4ebkxvHeIgN2i0EwPwQWFzaOpkM18kJWE1HIxgLzMAtrYzTed2rb8VUj
iKz5WE2wwI15b1p9uHPC8iUwAFgVOCzb2Vhcbi6eIFo3KPHjSoZZHmHSRT+1iuC5N7tHI2nwyPsY
e7wk/wm0XRG5KTjyGiCRwcqNJI6Cxj0AtDC3TR+UpDkbQjQSbqzS+bBrsdfmzVvbv1az2lsROzpH
n9PXVn9b8rO7T5Ns62RsUbJrDgRjY0v3Rfkz/OTwvSoEZ6vnnuMmDTeOETAFjMG5xgIjBzRXfYgG
70YjNG0rjN2mq2gmikOMwJGD1BTeCQJUBEGPnBt18xJy3BQeLwsLpu6UAx6eoIOlVX3XDtkH5kJk
6aR4tO26ucNk+BlwmKZyYnHUHgW4WuxEef0QTe4pE5DD8LEfMys62BKasI5n/BHJg3BDWhdm/4ki
hoiLT5Fuo2K4673KWdvJhHGSndhkYPIrw4cOkAc5nAcg5ghvFqiWsaUVgMvZIaDlAEqWQF7Pg2Pg
etyX2fqvRASW1lSsuTAabDJ3bm+9eCoWmA2VNc14/PuXq/8gpfffdozwZPrHw//8H2X7f7lZ8R/+
82bl/2YCs3SVxd7j9zaR/7OH52bFjpfftxBzcXb/+WZl/ubye0vyxhEu5U142/64Wlm/CXhbCMie
45sOO/y/RdQSXJ7+Re2lZsSysEGZfC2JxMw17s93q6RwZFoGjPdj9sOP7Ba9V0e7wFEg/DqC6g21
sTRUGrGpd3WOcheVjUEYzz4hTVLjmgflUWjTORv8lvaXzSbbFQrnirMXdS/CY0OHnQ5zC3cFshPl
SUlK4OK+vXPnbngrwoy7BCGLLa6o/ZS5rJhVisGxz+a3YEybn3Gg4ZTjXHouBsY7MRsXwLLDdggb
GvjK7qSoNoXbh9+2KRcbT5Y9YDv1t/XQPVUzhOalwNgET5LYxUsNZTIgu2+q3OG4Ut/amjXRU9xJ
2atlnbRkNmKFiGcyecDcOO3cPqYP1DnVNRu/XPQZUrYA/tz295RJzSs/FzcmuhpaX0fWFdsTG6ju
pNvJPnkW2Z/aRJOCDtBeUMzIxi8NIE7ZzIC78xS6hUx/xaXPcj8t8LvOFsBi03uHFnjTBYRflczu
W48kc6YwQcrqm+LXauvZyTfZ/XRNWPY6WngQbdyAFDgDw+ff6/U/iYOTYiIJv5kspuSSFqNdPDn0
NIzh8qMSHoEHfKX5yNq9neh3TWzwnSjAPh4kjO9cw3TQlLvI1T9H6GRMK01PXVn62CfVrT1O5poo
MNjCuWAwjJ9lrxe57hKOxPBV2jFO5XRB67nYISUQ+U1vVJTuwZBe+qz+xosFE9XxHoGO0rtihPNB
JsUPnlPB22Q1F5niMCuXkGGHb/ZEVx0gQi2XxzXnOmgujH4t13wMyPLYNCFOkDBIdwO47b1lWcF9
XfLYRRDDe4622ndqPkoyXLu5px+C1htsCfAlzK6464VzrEY9rbPaJnDul68mXdSrMo+ubkTEbBjC
x9LXN73tbVmPUwnoMgAXXG9a8QKwO9u4g/Mgh8neS0j8ePuv9FF9RDMsUl5td+e08Rlhje/XyJ7r
ovzUhuFt3NwT+5DIyBYEFU9nx3oane5omUNwztuk2k584FY4PHcJbgHPrNxHTHnRzoIclDHGHscF
JpQvWCHelg+DADRU9/KX4uNotvLZbtVrA5HIDuZDCaGoSOWuh1iUa9/fljCMynZqoUTi5zAXvlEc
HPso/GHDPTIS+7UzPEIHwcS/HjRS4fbUUlaE5hWuy5VwNN3HMTfBNqHapemo4A1d8WIKQ3IOVASt
FwzTsACZ9DAE3Amhglg17yKoTaxxwDexvIBDdqZv4ZVCLfNQRzJ9Ewv0KQs8BGJKuEbqhREpuL7R
YlMvqChThu897CgvKG+FWd+FTjMeEttEXaFEIGsBTpkSQhc+j/a2W3BUXI6wqjg2YzB3nrPSdgba
Yg5PIkNGdsex5IaFO8ifu1djAV5NbUIliJIN7gUDti2W3LNfSnvnWuM3xsErhTHWO52gctOw350W
sFawILZoW38kYZbskTYqMndet8f/N55dGzSpUXvPIqdZmobQ7eAXzq6P3aNDHuLgJcmBUfgrmUi/
Az7c0xLzKc3cOqhc3hHiA8OEBeXSe+KFMhyuADbnTmONvAySW2UGQSYvP9u+tY+WgakR4sWXbpp3
R02wtvtLmkACLgzmQPYzxLuotFg7Phm0uAHa6ef4ABKsjPtstl7LLrpr+E5AdXi/ZEFcb7GjJuo5
nd61q27BfJHm0cZzW4dia8c+oCz70UV/CBiT1nEakBUij23Tlbwa/IQeDyEgkuc51+GIWxaFOQze
Qa02lY6mvTlo6mWVuHdM8v602TBGOlFwmrLsqKKo389iWjeAfPdqTNNtb8+fbIVgqA0YvJmtbgOy
2WqgV7imUaLs3AUJd0bzm7dF4W15BBMty2sOCjOeyFVmX61PCXtVvKRNTZ1tD7pFit2YOHtHHa3U
pM5k7jZokveJmLc+B741DNeiEGc76jki0Kp86+SPSCjN/UghHg6Gq5vTxWfzgpjA4YgKdca3HIlh
E5JwkgOWu23Ex8F097Is9p5bPQakDFbcq061Pdx2TMkUInYHTJkMykh5VZud3Wh6FsVymutHzt8F
td9RQwtEdbqdKuMxKyrqbKzbCcYfMybUB9oDu3oJ3m9mgnt5g729bHYErIBKzv66sChZKhyyE3x8
SdOD+LHoKHWd+lX5zReewBvO+GdzYQANn8RkbihUYc9r8Nlh9H2hqZMdl3sJtcJe1DQfsTEccZjc
CGe8KgV8uutGLP7hQBonHvctCLiaFBbde3rDaYrbuqouoP0Pyu3ORVfiVp9scvxc0Ft7G2nFRkiK
27pi5EYb2Vhz+4Rp4VT5rN3SePzJauMqBAqVqD6BnRmIVxN29S5+M2aD8r2s/wElO3CqGExKeGuF
EDMc20XvbLIHtK1PNlynPp3brefMb3j2H7ppfMmz77ZcSDzJ/NTGy123Jj0s2p5rZJfdaC97c31i
IvyJEo2uUeseTCWfDdLyaFXpxwQpt5I1j5sBVTLzfsY26IwsCi/jQOc2axt35ZeaO1m4k2EIaLr2
v4ZMf7smBkSDJ5urp0W6pWTHST3jaIP62Hr+UpbtiRvfVVghg08xUk/TFdazlxvOscsLei8wj+zd
QB1zInibWbFtS9utxJ83JNek++RK60H3rYks+OekgRO3Y1XMpvd+xHVP5oZv49ZzsOLDXc6LvW1J
glCbovplJrckEt1mV8mTNZ8Lw95X0rpFRztCId8UoXsaC87ke5otmmaPlkwfQbYtrYofuat3pJDh
8SOtGsAxuI3ht3aeyBCkxs43UzSUZkUw2ZpstDDOiV0HkrzodzaFWXQ30dII8Cr8dGy4QjS8pugn
7BoIHxinsLkQkSbtuvVq3E3Pngx/VRHpLos+IvsQZ++1es/bTeOXoLp4//vlz9TKL+AkKDuor0Fs
09BKCXsrFlixfU3Y3TZ1CUSz3JdzfBsamGo6tak13WHtI7BwJPlTXtZMjOx30QJ46llrskJnKe39
ENUbe6LOt1ebZlGuuJj19kBwGYMioVTq4LpuJrsZrAa0SQW9HMPA1omrjfcT2tKN686nSbuXbhp2
rpfuJq63tf1Lzc5JT4yCLZa0U8P9WpW08ySIi/+LvTPLkRvLsu1UEvlPgZc9H5AFlPXmZt53Cv0Q
3ol933M2NYD38caQE6t1zSWlu0shRZTXRzxUeQEFZEii0Wkk77nn7L22rSrXSq7sR/UMBgwZljNL
uy/UU7otM/0mEekpSVKLpi5uS1ufK5a/VpvqWEMQEegY0BuqFC/L1mrcrKH9XdhOcWJOCsP98ZMf
wYfKUfYXLBe+NWBQaM7ckgxOJ1l31llcuDtm2yDnSeZQA2IE23KTafWGmE/6pK4166v4KKiDqyQO
9h352dgDwUW4zc6xIGXE1Tqr7CXgJ9w26DVG3K6FHSJZT9NwAY78oTFkCo53TtLiU0abuTYvgo8V
uPupBNvUO/jAjHUdovuqpn3kXFH2YfrfTtFHLbwuMv0koiyp+pkb0BtDYb1lzrlJ/OJoSOxNGMA7
09Ol0669GE4/FujI/Mgsfqnaw8JpqO4QrML64AGHkwnU9mIa0XcWQGeKnDY90j/oGFXfSnsYr5qj
slpiJ5kH4E2KpgftFkdzgZ+od+Dhqs5uqO09lRpwcpXbqkLKmGW3Da/H3izppok99PWjwSl+c5z8
Ewo3SgVaRyRhry0b97Zl2seJZWDBEpdMQXQ8E0pw0viEseoXSVRvS+Fvigm4TjGekBu10Af81El6
VpU4ueIQ4LE2r3Tr2PXJeAR/oNWoGasQBxEZYGgTVUx+PIJDUx6lzLPUEtGHQQmfF5dtEK6Z/TzV
dnebTPaNAxpGaMFZXzRLOcUqODBWKz/5mGXJBuEa0XxJsugC7ykcvUUisQh98omY4BVu9UuN6JZ5
TtNY0ZJFP4CnDQtkav7KsS4yddu39UYym4DGbGEQ7YWXnE69hi0dfjNSl/Uo2Fe5ZEplBcGNsOjw
0KvLzqZXFMzVZhm1095whlMPEU5g4CAbprk4Tigr+rBb925/rg/2Z2ARd3bNG7nF9aLCWAbKHvC6
sq8jfIpFSSST0e3pch/zsNfxnNi+zQRYLfHzdaR0xxbJOz0MtG485lInUCacI9Nk0t+Nm8ovL4rC
41Vocm+k1VHhxSdDaOFu0+f05DddicrIHs6x3U7LJlPmGkha8Mp78PGIRJTiOImKdak6J03TbhRW
fn30PmHj2uejfZtH+ZVH5Bbx9CvwchelIja8rC770linbc/YQzvxBKuGXSW7eqgfg6ImfapdDop/
NA3ZCivKb15b75nFJyDum7VuJ5uea43W4lRzeGOzS626BV/2JmMJE4B/Zj6S3wQqVwveoLc/A67Y
RZDeApPAi+BBRzEbd952qtKPSpPvyi55nJAQ1NdWSl+5z6kyhXrFKZMfroW3wPqPiPlAm2yrv4E/
olkQNecigGajCwIXGSmQ9umR+j3207ZSjcepJ8uvr3aGM6GEIebRPU0Uc652AfVJd2umyYnTlNk8
4SmYZbnx0fX8jSjrPSyo4ynR19CHNoFjn/mZdVs1xdEYxKt6gvEQosesmRwOqrJtU8WFDdFsi+pz
ODonZqYt+0ZsoBEdiQYYSNTYj1ntn7Vlu1AExTK3O/jN7VjhOSI3kgZsgl+pLdmJ05E/yWyHl6T9
wDVcSRksNe6TC9rHGJcqomkWuFFtLywtb4gzeIzysQdApC7VaDge7L7ehJQo1F5GxjxBuyg9wfyj
3WsDguV23CZO9uQO/NNJixbKYF0qunmdc2FnUy/wkVI5VAP8AyIHtOQ4G3hcMyXfJlZ9goA2Oul7
Pjd1i9Vkk2jk5MyfkkJct920SrSOrETfO55qHz2Lgh6MbKPqDu03cnwczpiAC4Cac9AzIAmpcJYN
FUDvCthRFhy95MZApQ3KU2e+Sb9e6Y/MsFyqgbiLfKYbiV8jbff1yzSgIa8YG/S5R547aEzE8Py1
fbAjI5M4RxM+ZT4EhNsF1UmMQWPR6DzmZn3vYh+BcngpqmkWKLY1dxKXhg7D/NazN2a+G1ADDSSD
BwbEwLI6r7zpU16FFDpOyYgge9IK1tNS2WJFjuE0TQ+TdH42BC4aIydhtowhBD4PfTSPM5/1ruvC
O62SUMc63gfJp3a6J65kk5PSMji4MwtxZOM2aawYdxfsPXjfrS3j3PWJbw4zilLzbsStcpPAQPB6
toliRW8im+m1/jEKppO8MdAkwsh0ofrmzLazmKYUltZZE4KZSPz0QQ/NT8xenYXu01RTyfJe+MO0
zlOSltjZsNeZ3MuepBN6zqNjsg47RzppeTjU5Ua3yJZFP+0dHnhvujKHq0CsXJ/oeWSZKfTqyLkO
fI0OWTAfldO+vnBS9ZHozZMWqaLeDBe63XIgnTc3rS+wyitApwX7unE5mPZOJf3WT1jjx9vcU6s9
qBII71hsYQckYBbE9OjTBlJM8VlV6OoBE2McWxzBQt5EKj2uEH+z1S6LojtuiprFIWPH0yOd5h5i
ihVFsyF0FrWuboOUW5xg44/IJGZTEd4PvPfYmTWnjUbN2seb3LIXGlsXmDchzu9uPY7i0gJuGlTd
ZWAUn8rR3KRqfj3BnoX0g+DUPMtEddngQpyZPa/fnqlDVbb3AVZrPzaPjUicKYZ51w7eEufnGbDa
TWDQkYHQ6Ae0z5BehAKWvmjLKwMl5UwPxysnis6tWNsYBjDboTpt8vFa9O0WeR8lGA77mWOBgAPA
85mJY7PhreSxQ+vLdZF0gHEM/ZLdLKDLUECAFL29mmqtm5EkcpYIoJgoQ6qzP9/t/x8ipQJM/Pua
7lme/PP/dnfVDxr9/LuvjX6HNHEUF4ZFr1/VxUtRN3HivIocS9UImXotoRIfhIGwSsKWXVvlVYm8
6quESvsgD4SLD/E4Eknd+VOibsP6QZsfPbcODplDArd/I6GKnGaMmog2f5FCNiys+rQrGW5Xfkd+
skWxhX/U22qCuOKpo4GUCH/n+u44x7AOsM82ziCMdcdeQVzh0BE5mqEcxVJ9g9nwUm15BBMRw0t2
p/MpgIpjVtHCtfBvDLSWOoexPSdw3PCKX3TUC+M4ZHMAFez6gKsXeuXu9bBiZAaQkDxQDMIRZMga
rgANArgQlGsjIeW0+Oux22Hblox/Oh2BOaXztOk9NOWDdP/s9cr6DVvgMopp5GnN6M8dW7kqEzgG
49CsUYsCNmIObsUpEBZhzJG3UvJb9tHIOOIiGs1yEwzqRa/hbNEoTcvcvm5wcDMbzTaFktKMFa63
y+/Dk6avcCqOKBeS6Dfo9ZBXveBzrKd7/O7GAl7/yCC/AfKkmDB26e2xm83XLeLOZedWR7VSfmyt
uJyrWa4dpZOLpcXz8dhoaF0UkV10VgxygwSybZy22MgKvTlvev2kiKfs2IKvAmlahZZhEO+Y0w5Z
FHqQc406e1z7kmxkiewBXkpzPJQ53DR8Ro8jir5ZKiOK0H0jvzjkFpGuvVI0oozkSFgn2yiQIUdY
fzahMBahNl6JVj/P0Nu5oT/HCVctAhoG8xwkokqSwLpLGYOiOb6qopipah05xyk5fotOBi6VKT57
nyk0tUS6DwsYywb5jTPowFfpqF31ZYR4GFWyaQPArEtinejT31s6qNwmwInmyvAnigHnzK4NC6rq
eJnqtbX0NZoWA6zvkMAWF3r1wpAZLiw6sJMREeOSR/2rDqCULSNXZ1PQLFOkzbRs2FGEZX/rxVo7
b1HTYF8CCUt6jFpVNw5xMn6kXJbEy/D9LgW65Mkqb12z2Cc2ePtagu6ZywoCfrH/g8DPAbJFEopv
Sjx+Biff1Ykjg5vP/cd0RqL0S5j6gYTrVxKzjxBlU8DdJ+xjK+DwZ017gzKcbpFE9E9IM2alQ7Ub
SYB/lcQKbKoO0L/E+1u5wpkiy1tEEv4PWM6/qi327LkGDGpAZW/KFNtoqo/8yTypTPeuSTVlXctg
AV3tPioyaoBkllUJ0oyHmWFDWmTeLinrbT6oV6wrDCRiM1oCZhfrqLXgaY3JAxbyG0T0FEyWv1OM
CmKBBl3DZ9rhjNOpRV8BpIi+bhrtIu/QDDf+dJvKUYmBYGRkdqJZ9jJjltKr4aUhhyvguk5rAdlC
LauP9GnrmQjpU3TMZDDcno1FvKzRpUC9ghNvyQFOI0c59QS8ypXjnbChnyYHPlh/1XUmh0BKjDmA
tqa9bUWnk4uXgAGTY6OkUqs1G2YScuVQCZuysVIq2JaDVh3HcvSk2DHAFnPcgJFjLDUal3xwDNGt
fKJHeuwywRKUMHh8d6kcbaGZYsglx119XDPL6I8t5mCaEd+Morio5ICMroo65/KeqMzO7MMQDT3/
kc9crZUDNpEnRBDJoZuid9MmloO4pHKXyK8vQKhLV2z8WMqBXSdHd6PXY1hTM3tFkH1/laQJtmWB
/7nTS8AOVCui0BHJm+u+oUeRIa8nH2xaBnaNUuqkBwCMIeTOCUymh37wVOObXvLgPFndqO3V0tm6
jByBo5ByzxASCeqnUU4lLTmfDOSkMi6r5LMhp5eG3Ku5zIdwATPbLOSUs5DzztCn6GKeoR/pchrK
yzFYdnJCqvbjzmFkWsjZKYL4c0tOU1N20rNCTlgLRq0iiHd56Q0r1wouBtIlpgk8QpbfKu0qyh7t
tuq20WQ+TXKIizzoSGYH6lVyi1sVbHhUXCGHoAZsrloarUsnjND6MhpO5ZDYluPiWK+OOjlAdlqw
ioHlHlcxYw19ym+Cw7wZi1R5P8ohtCXH0WUveGtW3jqWGA8aHoQlyvF1wBzb6XgT6np6VMgRt5DD
7oCxAIqY5lZRQEPIgbitg4aIYu3IJJqBzr7GVqzjcQ74T6Rz8HDL4Tquo24VyIF7wOS9ZQLvMokf
xyJYZXqszkcgFqXDqjh2NYEomWIhSjJQIbng3HKLeUxrFHRE3KFcEBIXLkVjD8si98hNaKHgKZlx
NpZasRW+8SSXL0XH3YOvpF/ThiGksHW2JUMjQPJ6TU5txPdV0n8PPWHu7WR6yHp187+V5nesh2cb
4E9RD8d5lWd3B8hDeOf/CPj6ItzD+sCICdE+vjdNsw4Yh38BX11TNcjWMJ8L0a/RquKDAf4VhIMJ
XY2qzMDX97Xa1DEloiqE7mA9uw//FOyVk3gjKjFV3UIOzGhCswWGQs78pajE0ouqyPHiAw4zgJvZ
eHEogIq2Rgyupo0x92PUszAcE/ui0E3iPhua4esxsxOgoMSsPnge3btJmnx70xjOAd8otDr0wEB8
SRky7/P2pjDI2Ow9DFi2YAUyVbEdiqBbF6PnrIyyJjnSVwvabsyIyGIn55qB9YDjnDzkCtGvqj5a
ipPmeyNxXCBWxgSnrbVy8MZasjNa3VtnrcxIJYf1txbt33xC0rWwlZjmqOLp120yMD8vbLBxvY6+
tsoN+lxmCxQPZtwO1aQvLpSeGC6rmibIEyiJh2JjI9CiidU1kQnyKPYEZUQm3TCV9MXAC+z20cEs
Q4QiHn/poOHd0D34Ba4aOqb5zpVOm8IbhktG09hvqGICxF9Ea4mDO8dVlF19sOzEZStOUbti5LGk
p4cQMuw9mXT6lNLzk0n3j3kwAoVIBz5FkbQHeQerELY+bEPmwUIUSzfRdDAWNQeTkXYwHFWRNB+5
LCmfJoNXrpDepE5BqDJ00rCEFcnHvHQwMpHPpM876W7qqKv3ID7C49Eldb47eKGkNnLHpBuH1HBw
S7Eaq+dREHsLjGDpE+ZSY6W5Ji6xkkjKSRqvbMenP4cXa6CiWPk5s71BGrWY0wYImg7uLWnksg6e
LrUp8Xf1I+2EXh8kr+PgACP/wF8VVXvcR/o2QF7wyGBy+DQcPGPmKP1jTkHDUK1zlTzWoJZ5rc4s
IiY55Q7LwfHXjNj8GCl92xjTgxs50WUfG85elZmWeh8WN2MvufthHYYrI1FJl/H5qkWot1jhGzXY
ag7wS3oODsV9Kty57+pFydXCFB8rlf0Qa3QkGy8k26tqTcImUEVcgoZ0T3O7p8U00rbyqtG5dicz
2QHDR8SaAVFpJRmhq4i11SajvdWsIrhluO7dEy4MBXRUryI8KdtED59UN75nxJWh1OoWFVMAwX2Q
ZqeKmdnbznaLG1DH/U2YRv2cOkV2I3EKz+oKEUuJc3fplD5w0770rib60pc4ayzm4A3TXg1I74lB
rUM9X9ruZatX7D8wiOVnOtqQdYVd5yYSTn6TdQYcv4mNzrFRdWQFKLAgPCkVzVBxrITwFTT1pvcp
da18k9MDytBP6igyjTAp96OTO+WszEEWZua0nypHuapFUV2bRZEZjFJAwgbkJt376uQxE+ed4npQ
DisnxyjZi7ZS2eym+FJq0+jcRa8ZZrooAh1lu2nG42VVG0wcJ6e9xX7THrtD1Qy7Ojedja169VEP
33VtEKd2BtFr2mFMpR+X5/iUJS5roHYCAxwXGzpN8QPtbhrEgWvKYEbqVYPcvVXjTvmOooXADSyt
7a1QJ5VhELvH+5FwR/pfll+dNU7TnoKAJVRDH8ItbpN0ramVpiGIc8kNigPb7SmqUPWkCPXtvrHO
S9fwbkGf2stYyWCBppZd7/uyyIH4ZdAfVC2zz9U+cYA+J/0D/rwYZTwRRvP/XfB/Z8GnofP7raX1
XfLP/yhY6usfNJf4l1+aS44LiV1oFnWczoJ6kIp+WetdDSwACVqqqX8rA74FeVmOjEp3DWEYrPov
FnsKAdUBAAUBCv4UlcCfk5DiHHxhzjPBS9lSO+pydrKAMN+s9QpYImrYSaELma+kyUYHiFilnzPT
2CQDaKVs3SZ3WXaT2HtaSNB+6GgO+bZU2vVQamv294xDxme18sPwf/yn/OwZV/C3rE3P8jBr6n/8
XX7qvyAG8qxcVdd18ucNA1mrxvV8WYEk+eA5patAhlMdVpghzmj0NO6yDtAXhAgrZi++uh98nryg
rz/QUVVC7V15JSy+jTcNNm8yoo6OnrUMJ9IiZ+TkuvXarC166401kULWQVjS6YIYIHR7SOwUBWoL
0MiPM+WyFtHEG9uroeQNhJGdtBNeiFnqeyoa79bEgt2rtXJORGNzW+KFqZYZgrF4plsQGGblYGgf
i2GCp+d3wYTVozE/Ka09+GQKsnvADu4SyJSaij8uY1r3l7TvJt7gmjkhpM/DEkYPv5q1rJO2ppii
xx2srV5F8V9AYGCEUMqvN4mA/BDqrjUXXs2tOs/HhH0WuEXg55MD9dka6UJlY6Z7S6brT4jiobak
vmqB6dKto5JKsF+HpVlKUUcWgbZJ0Rb5hltcM3ZvcABGsmuedH37W2lYrC9RXQYrGH147HKhJfXC
L8OcjJp4cI/C2KhS3C+DGwG288iUcX2/bABvppM6j7o8a1b0GBjPGd44PTheiWkwJBognVUsJSlE
eppR8zDlcSEbvs7jRW2IflnRVUFQ67TobLWRr8DQMYHPJtguMKscWo9Lv3LpOmaBYiItpb+HnU1N
zOtU49WMe7EuVkPuWDeDUmb0GJNeNBuK0ehEKNhjfnHzie/udkd1XDjMjurqqmXZsvv7AqemkEaa
DOlIr7BEjBOwp91YYM0g9ZZqgcWyKDuif7t26yUD+IcJUFCENn3pIXSeF8Bcz2gtudtQjcXcmVz1
XKGxcvTzJ0RIJfmrR9KBrEnHW4UyZ/IGeqM0rzUf46CwxDKvYBTPk7CpEzqXbsK212jIjZtsxl3I
hXrkM6ifxTzAL7vqkzhkHuq49eoXJ/S6J842SGNHBISP/RK9eWG+OaEJX05FlBp86LDXr9q4rM+i
oIaS2qbVviXcdUtKa7byBCEBkxc6e6Uf+hmMhQw3TQATu6Pi+8U5yffSi4vkmpal45xWcU1bmOaM
N+cU2FZVqMAol02J6VOG1wFDMwszv0cGUNJmtDSgG8Ip5c4oMvqNRlmaLQozUgG2Qo3T56ldIIVo
YLicMR7E2jIxHablWYwNtuXBGWDIAtEi57NXKP5//guAr3lz/rbcQWqGo9tMNfQ3d2LrN4jf8whp
Nc5RBoYjei++25Wq41j5+Ue9sS5gS7f4LAcylIov3FEPIJsXd72Y2qnNYsQ6rdWqn+gtmivP7oPz
3jPr6yprgU7VY+bI5MUAEUDI2JK44IIdmFVLw12E6RYDOwaFuoljIrgIv7pLozxm9xh7AM3TQTeu
6pqobCQQjcd1syF7TDb5ATNPjIn4xaL1/ZdvW9yUeDFMrh03wevHOI6BcEHEx04YthchaU4LVouH
vMwZJKekR05aNe78mnw4z5vcX1xOIVeo17eebWvs3IUABcAcSy70Ly5nVgZ1XFkS3Yrvc50qXr6e
QDysGQtUC9cGIIq/ldFjVNXLEobLUs2MfD+yoC5K4haeWQ6/u4BLDuZ3p6ObJNSoNjQiQZXy6nRg
Uqt+iSV6mWZhfTE5Flqyzhnv4qpSVqLy8mk5NQz3GawMxsy2jWHbxIOglUCXD82xFzQInaFoWZtm
qohwRwVvHSWmrZB10hdc0hYrnYnojLiOmuEOQ2gtMXfumAWQvwsXjSpKARRhpFzOYhE5/eLnN/AP
nhWbgs7l+9Zs3T7M7F5ecKfp615lGdbGnpZILdqF2xYuptEp+MVHiTfvOvms2BaNGsvBOMTK/Oa9
wtyuT4maEMukIX7a6lrrcfRNVGsa8QmrsHGCI91Ly1Vsog7oMuGvfITcy36qURb2+AAE/+YX74of
3O7cNqbsReF4Ykb6+htOVbq2eWQay9zP9lWl7wrNOArs8qS0wqe0NSgGHPvG0IuHn1/3H9xZ0j/F
iwPLE06rN48Zy50W0sc0mXjoHUzkqt4C5+znFiPRZUNE+68u/vdPFgNXxNOS0YWj131zK6cGTQ9f
YQBHL6Hasxz3iOe4c/3WQtTKKGBrCV0h2iZG4xQG+hImtbI2yDad26FUZvz893+7EnMzyHG1bRgs
fNgYtDcXwAtDI9TskgsQ9N6lbadONR/7kQqxcAkipc6yOwp0S4DAyJlp4QTOw9adWVAhrhkbm/0v
7gT5ga9fPcBobVvIAlleqjc42Ir9ta5UurHkT0FFldln8uOTX3zIoeb/16dY8Er4ABopBFqpJj9v
fm3bVJoaVCkKK+wQpEf4IFMLNsSoPj2IQGSZTS1AVWFizB+mEACrnoNJpZGjMbNFkxjaqEOhyk57
Gu/5vAmTaE7QKruKEJ4COVO0cAbH0m800YZIP+16F7hTiPqGkHKNnQ+JmtgzJ+YUcTylG7qgRA/5
ueTT47JTlF9UOG/eoYffmNQvvmKLyT/MuTc3nut7eQFSg9lZkq7AeZKbA56RHkylrvLKxU1asCQa
GZRuEaVnNK7IccI5DwpXc0/qYXKWaW8xVTRrwvNSAdAsBCAL/KxFlEnah0o1SydzCq/EFA7Leio0
yfE2z60MtFDj6fVzFfmnMuH+J7hQaca76Eh4P/LW1unyq7w9f7+XcFo9JWyi7152En54iK+KFRNC
tIb6BGuOIZcgjv51gGB/sDTw0CYiEkcCgagDvs4Q1A/scQk1pHeAoJVdPwOFf00RxAeTiQTeVFcD
oGLxjP0Z7A8rwKu3AresLMtBELL2C15Xb8uhpksVjWwdJnss6c5vaKzYXSy9yFNw4dWWXi2asq/k
sD0og3kqcuUxyFWa+OiqcXsTeBPjsbNaIRmxdLdmfR8BLNbjY0Jh7LvEszNa0QoNriZyKlqyroAv
TEQJYLQkLS5CJoEYWZXqetQFrBe4yxfOJK07UVledqNP8xb9DIWCYmNaQCnHJF2tTZTenmUdW0zv
j1qjE6eEdUBLTKzI2AP1QWvgDtMuCcYGnaKqry3SWtZdOWVnmi4mCCOqPc0DwyY/WyEEfBG0Qt+B
lbB2utYgy7CjpPpoFbw15wI6wLWg83gSNS6DAMgb+kNndx4iSqbuBQjeNiTTKSNOrQNO1OOrn+tF
V/VzHzNjx5trTG9j0B45cALVPptAOeazMWRKgBtGMYdVlLaU0NWQOOikBySM4P1sjA0EP2fTTJCV
cFWl5C7N8rrQXawuKNjJ4PbGTwAGs3VJepsBXkdxCbTwjJ2V1MkZhbW2IUsDTSxlwU0CNmeL16pa
wUNTP/mJlLXGab8zkjSdmwajzwVUx2ChdEq86c2x3ZeAkE6amGHqUhnEcWOo+pViTyJfAoMkliHy
Pe0KvX57MSqkwpZe7igzMwLNj268ial7fKUkKokdJm3ZDolRMOg6et+cUNiBELaFsMBqryrFaq4B
e0Q3RaXn8XpQtGrr58IvZxNRV8t+6M5bhqk3qjCSK3UiT2qCkHzUF1Uyt/pQXbIYlSctZtqnnMiT
BaFR7a2v1jph64Z9RCoJ8iDvSt7HRoww2xgyJIQyb8fv0XXqDjHpJqFrc5MUaUZmzaXJBGgr1IYA
n8m0TzKZ7tOXFQkyWt56H7VsyE9cjRQXm52zftw0Ef66osXrVvuj+TmJmvTcm0LIT67MOmrMXjvl
Fqo2ZtV1gFM8Tb32eEKWhgxQMpsOGMJA/me+IAim/xzRvElXLqgcUlrSMll6RmUEM0wi2PFUxamX
vpkbpxUDMlhdiG3Ri8j1ZUwBBNsVnh5o6ra1NiJyrRyTCIEx0mDCyfgrpvXDIon16Iq3A+HTEW3y
Ba0xZaVFZAW1MpCLFefGruu1PwplnHVEe8UxCqS5PqYOt7ba7jLK3JY3FMtWPhCFNlT3dqeKpVsD
vSDCSj/qRzKHU+IZHqm5snOzrbXb0ZyM30yAwNNckSFrpdwULBq+VbNMsqUvk9lIcizXo+kmK9EJ
WuiV7/o4KKYUkS7TQsRGyK3ha8RMFKoo+WR1VnZfm9R7NiblTSqj6oImdk+LvkWv4ZrNWYzBMyBp
d85+l+dEaON+SlDzDDT/ZeIvvrfkgJ7sx9q80CSPMpVkyloyKvPUAVcZHtCVoaRYdlVM1I5pg7ZM
JOWyhS9PWrlkX4oBW1cqeZh57WpkfklKZpaZADM9yc70Nce/MjMzXHZYKEAQ5a57m/XtJxIDqVVr
AwYnG5Xp1C9Ue5nQASUgxkb2KqmdTgLwK5Ikz27QXEyF0D0dh84OpJX4smvqfFdEnYlLFh4oo5Fx
5UpGKH0flG6TJIfCKIyBcrqfe5cGhylw+ngMjJaDZKmMB/woAXr2zJBM0lTSSe0Y00fUIZgZJLsU
FUZ3gmMZnqkkmwJUVS9NSTvFw6LcxpKASmEpaEE6wQmUmGYB9y4+gUUpe6mjedpLjmopiaoQrOuj
vBXtXeYigwp1kKQxaVrHuaSxWglCFyZ+9sKSrFbKrgFwJ2Lkrk3h0Eqmaw7QeTZJzqupQnwVOCqO
ODV7O0gerJ1TSAnJiPWdZLgSkhtbKUFyX0mWbDRAlXVCvVxHQReeTjHM2ZRMt6ViFuO6kkTarCRU
qckJ++slr9YrFeXMZ4A1B3LGlYyIoS7b3ph1Rddycapx1fFW3PeepV1xER0cQaNzW0mUbimhunLj
eFWURbAuAJExfgW+29vuuLOshu59rzQL4m8Ibmx8d1fD7VWEkeLnlCxfJSUOpnDpjo42jFJVQn/x
1nDVJAgYPIxGYCO2rEN18/9tGfjlxBd3zd0ya8JmPG+fqvHiqW6Tpv6alCH/9DCvuMr/a3/p5wf6
kip8NRZP//j7Q95mjTwDP8yzV1Uhu+FXdeThjA6n+7MDJHf8Vu0jR4ZFTVPGpstMvZbkGSkEz/8d
pgmqD4vqD2SJ/KHHwCe9uDS/98v//Pd6voo//zuvTv3uMYWWE9bN26kcrSTIiUxu/sgFeHOUFxdA
/0D2EZtnwe/6/PPdhdB0lw2tJp4vBNuuv9aFEM96JBpS77sSxMLQRQD69eUXlaSaV7eE84HGLDtQ
GUHz17oEsq1IOf3eKyA+kJst/0/q6g8/310B2Qennfrlj3lo/nIXAp3B8y363J399p76/q3ws4fC
pHPM/IkN4atbANIRg1iSv79cob/incCmlZbTO5+F17+383zAv9bbT05k3vl7qh9shAgweg/B8fKm
ZkF584XrNAaY75l/6bef9t51QP0AgE63vj3ZDMjfXAnIygzDHE3/slA8f+Jf6JZ4Xgdko/R99z43
Bd84BigSZZ5/eLG+vClIJOMFwHpoMa2TP3/BtwCCGfe9T4fC70lTDKfV868p//+bS0HMB01oyhCG
9Yefv9xdwYQeXB038/tuCvEBhTLxjXKu/vJe4AIYX7qLzxfg+fb7Q4/FH/hL38pt8OfJ46HQDp/q
H9Xjv/cXvpaa3//5lzJz+4jgyPrW3Dz8PVl2P3/002EDIP/3v71aLg+V8Is//FoZv/znX36/7z/5
h+f09T9uwqfqrnrAY3v46C9neXKXUq5fIUNtq7ugvXu5C/j2Ff/rfP7x91dn++Lb/9nhz8KHA2X+
7dGfn6X3Hn3d3o139esTZ1wlF+v3HnqJZLi6Sx6/P/xhjXz34ZO/nVavRPwUnM911nsPzc2R3sP3
n94e/rmefe/h/33ion+9vvJO/7Zreu+R5/IeDV8e+sv6QwXx3mNv0/u7e+7zr0eSJ/7l6Lxf33v0
y/ahTe9/DPzUeFG+9/jHjG44/NcDvTh53o3vPfjJXfHqTvmy+ftveIbo2OfF3fCDr1RurN573j+P
0/r2kv2vvbd+RXB95+F/YRt/59Hnd//8fz+0pFNVvfeq/zEb0jt/gX0e/eBJlZ2Z957+H4w+eef5
/1K6/c7jv0j6/duXCOCnr9fm8HJANvQlO/i9F0x+VP43mrVh5ucyZTiBbXxV//M/eFUnrxdHtJmH
T/1v+Jr++Lz6p1fyR+XSt44j6+QP679f/gXKOHngh+Tprvq3/wQAAP//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title pos="t" align="ctr" overlay="0">
      <cx:tx>
        <cx:txData>
          <cx:v>Mapa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>
              <a:solidFill>
                <a:schemeClr val="bg1"/>
              </a:solidFill>
            </a:rPr>
            <a:t>Mapa</a:t>
          </a:r>
        </a:p>
      </cx:txPr>
    </cx:title>
    <cx:plotArea>
      <cx:plotAreaRegion>
        <cx:series layoutId="regionMap" uniqueId="{2C031E15-661C-49E1-A485-691061FEE4B5}">
          <cx:dataId val="0"/>
          <cx:layoutPr>
            <cx:geography viewedRegionType="dataOnly" cultureLanguage="es-ES" cultureRegion="US" attribution="Con tecnología de Bing">
              <cx:geoCache provider="{E9337A44-BEBE-4D9F-B70C-5C5E7DAFC167}">
                <cx:binary>1Hzrctw4suardPj30o07wInpE7Ekq0qSZVm+tu0/DFmWeQOvIEgQ77Q/9hnOi22W3faoqGrVeGZO
xLYcbbtFsRJ5z/wy4b/fur/d6rub4RdX68b87db99iQfx+5vv/5qbvO7+sY8rYvboTXtl/HpbVv/
2n75Utze/fp5uJmLJvuVIMx+vc1vhvHOPfmvv8OnZXftZXt7MxZt89LeDcurO2P1aB55dvTRLzef
66JJCjMOxe2If3vyv729WZ78cteMxbi8Wbq7354c/MiTX35df9ADor9oONdoP8O7AX2KOGGMYxH+
8fXkF9022ffnMnxKaMixJBh9/SLfiV/d1PABJ8/z9TQ3nz8Pd8YAN1///PHawdF/fPe2tc24F1kG
0vvtyebW3nxuhye/FKaNvz2K2/3hN/FXbn89FPd//X31DeB/9Z17GlkL69SjBwrZmPpuuNGfb8x3
wfz7WkFPJWVUYKW+K0U80ApVXCmJ+VGt/HOHOq6a+++u9HP/0V9KSfFNcwMG9B/zGvKUS8YUw384
BQKvOPAa9TRUiAkl+Xeq39wlvvnv//v4SY4r5ft7K4V8//ZfSxl5UX9qhxvffpfNv+8xAX4aErH/
hb+7zAONSBJKRdAfz9l34n8o5p861J8o5967awXde/SXUtJG//Ji+E8qiD7lFNwlpHSlmPCpopQS
9F1zK485fZDjSvn+3koh37/9l1LGzt4MN83nm+8m+2f+8j+Y5uAIy38yxQWriKnQd+a++eNpesfV
/v29ldq/f/svpfbz+tPNJzucVPth/fNYuYeeUsmp+BEEw1CtvFE9pZwLRegf9aA8VMs/c6TjivnH
myvV/OPBX0o5z6Gk+FR8l86feeQ/r5oAij6o6BBh8ltJhxA+1I1CTyFIQh0u6LefWEXKryf67//z
2JGOq+bHiyvN/Pj+X0ox18VtXjTQjD0miJ/skkDyXDEV/iH4vfhXypHgOEQxKtUfBcbKcf6pUx1X
z71XVwq69+QvpaI3tskgruX2P6kj/JRIwRX0qoduA5phkjNB1fcW97thfMs0/9xhjqvm/rsr3dx/
9P+1cv7scPebpYOf+VmIAT+lNJRCSCi5D5qk8CkVApRCyLd4Bor7RvSbYn70/X9+kuNa+fHiwbH/
x4GEP6++fqTk5Ga82XyFbu7hDI8//coioEmrVw962QM+vwvx/PNvTwTgBj/woP0nPCbg7y/c3ZgR
kCHJn+KQhQJzJhXHXEDFNt99fRSSpwiFWCJOCSHi66OmHcb8tyf4qVCYQo/FMGMM9P7kF9Pa/ZOA
P0WYcvajMf7O2XWrl6xtfojhj///pbH1dVs0o4FPhTKl+/Zj+1NyrKREcKqQQdANocuGVNjd3rwC
LG7/0/8rcK3NK+KDja/arZXVGzrO8VB/aTg70y48b5ud1TdN807LSyWnDRZDNLr2vA/szvVkl5Nh
g9xyfk98R44F0l2dKkTQy+BQMSYZIftT3zuVbl2q+jAINxapLp5c1cSzGcONyandFCIMosfpqQdi
UAhRCVUcSEKAKsCD7hNMPSsnRLHYFF6bIOpFw+urUXiRRlNedTTKKBuGaG4CaWKBbJlHWdUErw0u
PUpwaqYmclmvr6xfiiGqsxTxCFluymhGJniJ+3z8va9cOmyaqlRVRAXCXdQ7Rt53zpdZlE25/z0v
R/4xsNJluzRcli6ZlJrL140JPd7UhPshKtuiT7d7TsTGaGtwlAWM5zsxo0FHXTgU6oL2e23qsqmm
iHsyvkoNljhuF+23ncMT3xVeZbtALCVPdGA122qS221eZ0hEbUfFRd/qZt4VPe955GxT/p7xmtKI
sByLpCmb0kd6mu2Hnokgi0rT59suLacsajHRJsk7KdqkqNhQRw13YRmJMB3HOMyyfoxyXHsUl1Pb
jFuWM8Fjli7+VqW9y6MwNX14UWUd7+KiljKMSmraKmmyeXlhqLLdRpAFxMto2eWRD3QroknJetxk
QzinUZMHPI9tEHARIaT5W+v7YYldq8Q7F/QNi2c94/EsQ115hQMy+RPWFK6tVyEVYkWhgqEIwjX4
+31jCmxZaFcvdMMKas4F0uGV0D3qojbALIhT7brzMSjDOtLaki5GE0DUJ87w0KAxVpiFaA+dISWh
K7x/BkOyTmks8KYdZL/EuhiNjv2kSHnhZVOBpQRzzaPUod5FTqrQbB93KQxwxH0f5hLQcIVBPxwR
CGJ8dQJvlmCwvkKbuZjpG1v15rrMzZwsth4u7WSb81BnzTbFRRj7tFCXwezmSKZ1E3udZ0k+jfIb
bv2tNzgSViBPHh4J4HdG4EQhAcSR8H3YuRdWZCC6YkElTnKc6uchG+yLkIvh7eOcH6UiQhyikEgs
2P75PSqZy0hZ2gInhLrm2VI0eqNTTzePU8F7+d2L3Hzff2IwMwwtJg2R3Mv/Hpm+RGPapsBM11bq
OpwUf2WHkd1hliXWK3YVLuF7CM0s6Vhm4rGv8hNRemVjD06wYlThFvnSVTiZHf4iWdMlrRmnuCx8
1IpexnOWLlHZL82Lx1lf+dcDuquclS5ly4qixsmU2/nCdyK4KHv2sc97m0Vj13fbrsyWz0sjijyu
UbtcP05/lZ2+0ifQYeJQUEzB0Q8lHzRB2WUsQAkYdbZNWZ3Gec7ttXRGX8iFik+P08P77LNWNWUk
DDnBYFIKaoH7qi7aoE6JFygh4VBtApXLxKCOvM21QDGRrjznugpfTl0wXXnM3d0iavma68yNJ8LK
Q9umIczoJOFQlAD7Kw9qEQTnBYZgSVouaQQ+Rl6xfqlePs7wnp8Vv+ChJOQSxIul2BvAPdOeVYtp
2004KRkq34zh4s+bysk3PPdhtLRg4VGW6/T541Qf8sZg0kAkkdB+Iii9DqnaIFwq3YE5826EPJvb
auOnYjoRg/bGecgbQxwkFAIAAb+zVWnTthlfQJ0oYdLkW1e7ftdOEBFrXOoPjzP00E4ZEiEJ94kI
Ecjwhwx5lUONpUKU+Hyanzfh3L4LXGOjqgvYpu2y8vJxesdYkwQxsodfFCErAQbO8aaZFEraou13
fAo0VJVzmVhX5ydI4RVvEJYh6JEQMfS1sGar7JJLMXSoysRm7M3kNxluhI14x9tPdEn7KW4FqYYI
q36akrlk8xlBpm2SJeu75bKWHRo3Y9a76zkbU7upuhGx566QC4myOYCc/FOSgdNCZS0oYYruhyd0
VRHYbGRyaEuyKXTqEjoubVKNpdsi2mQnPJSs8sI3WkoCwoKhooffDrWOvfW2qRayscKij7N3ZRfN
KTdvh8aGQ2yWRpHIV7mmu8I5msVVptgFluW8xCpkaIjMWFUuEYUPb+oSksuWVaka49pR9sYYjZpI
tIawxEueNlGKF43Pf1peUDYxgSQHcUEvcMhDVYUO86agG7xQdUk0VReeDMszOVX21eOkVrFmLy6I
ZlDbY04ArkWr2Nr0uakGAemZjTneecz8S+5TA4VlOZgNblD6hvelPRHhyF7j98LAV7KUQz+PJINY
IFa+2VqFwBRruqmbwrwq+z5t4moYgi0e0tZvxgFPeSwlc+dj5fAcjzXBfVym+eiiippGnI1+wDKi
qRcXhSh9u7O2KHZ8qGsbTyYsmgs8E82fuUzLZgdD8L5M1DgpHVW4VHPyuBhXwfMrPwLLEFRGJJX7
Hvd+yG7UOJsZQZdChmx8HtouTKTz+Qkq+wiylpogChQlGLTNX2uie4kh7eq57pzCGz02+lJMVnxu
RSmyTTGq/IKmdb+t+OwvG8vCNxYS04kUcYR+CJ6MqWCcAo65qjxqSLqmLTlEz6y5HAb6rCPsIpf9
VS+Ku9oyGzVKvmO0u31cug+jHfSmgoFTKy5hmWHlD30TkKKZEd/UHZ02lR/MOer0HIupLzZjIOVP
y1lBsCIgZAghMAheWWfNehFmQUs2lbPDZdhS/ZrVeXNeQRtdR6zI6SYMSLBj4TLHsmAiPxHF1iUP
2BO0/uAbDLoHWM8gK47TomAFkT1wnM/paylrNcTLvIwCWtxxKaDNlBOgEALPOmorQcsYtYUNI0Gn
5m1fCD7Hj6vgoYEDdiPB5AAFAOHQVXIbcqjCg4GyDTzlseqbL9QrfYLIV7b+YeCC7hchAImRIfzJ
4WvFtuTBaJouRBtUlamPSCb4bWdy7BKVNpJtawju10WDOfSOIwzpE1MxRXYzavIvwnX6g8RhqyNp
ne+ioOYhtPNImmd56AuzpWXREIBwWlzHLPf6d1NVvj7LKlUWUdZWKI8KiYNg+7jo8KHsvnIlYIdD
SUH3hQ9bmVOYpW3XFIxsJl1vTUagkC3FHGFbi1vvvEORxzr4WCxODlEw9XY3tqULI+wLtzG+IzEr
Gv6SqaB6+/jRDksWOBkFiCkEsGV/OCbEqowIA1D2Ug0yUbLok2lU1EUEIJyXKsP83U/SYljB3IlJ
wNkkVEkrKVg790YSIhMJmTkZVFYndvR97CRyJ9znAVv7ZkEgAk24pOA9q2gc5mxc/GJVAngSvazc
LDeA3Ew7LrU80Qyt+nwQ4Z4WIJgCVMsh8u9j172YrGmmkO+AFmq6Kw+ngoBkp9jWWN6GFAAvRQFD
aidvt8iG5CIXZRWFfYUiastu21cZO9EfPuQeyndI6pBZ913TV7Dv3onIODQUGwncB2zZGjxyAPRm
ca6GZfppQR+SWkUFyQZEGg2kirwdNgugGrE0GgLl6LMTseGwUNnLGQBKvF+UApUyRFd1HVFlHaZW
icQ3aLqe0LC8a2UWvPJuUS8nk+Gk0g09kfAeuu6eKmRcsFxYzYT0c6jdYWmWPJxKCZXzLF9XqAyi
0LHyPPSGnGU6VXEnWxPRfGk3ojD5JcT09joXxfB5wgPh0RTy6ZXXPfl5JUNbIwTbw8QM78eI983O
N1NZNdUok1m5cNv1o0/cYOftUKRo87OOSwGKB8FTxKWU635/brOWzbWQSe1bdEYzI56TkFRXqJX6
7eOkHkRKtie1x/v3eQbAoxVXuOtb8GwgZYSMuYaIjLLlVHg4BG6+mpKCT4dFL+jSgM6Kigj40DGa
yiR3UpdbUmL+gZqseebqkvtoIqF9IdrGP1NTak6Y8SqzfyO+34GliHGxnwYfsmiyyrM8szLxgtoL
QNLtNqt69kLUaZfoOg93meL8HcAaelvLXp9D5V/cZHLu+xPOe1jN/XESAoMG6MoATVvPPlCTpV3o
Ggk49aKfG59Wt0b07qp2ypzRBi1b2ZLurZyRfdMZ2zx7XNdHHBrWQ8CnIOZ/TfmHgqgKj8qxCkQS
8sA9qwNE3zlm021pxzdQ+dstr2z+/nGaR1nmGPb7MCSgB5lYNGIJlKtl4lrt4yokgNlB83ve5Sr4
BOl1eeYZrt/NZnG7shbuzePkj0RmBdCRgKISAwgrVjHMVrgqQ9fLJFW43+aK2mtXV+nzkRD7+XFS
eJ/jDkopcKX7tFahGXXtPCjtZTLxeoigBecXbWnoLgts/2wR+XAmK0kBjffTSy7n9AplrvrQ0FY8
t9WS/wsxBHAR8G2YDUiYCxwqe2FLZosZbA0t/ZyMPcRRlLVfoBhy/yaldWAMsqapAqDU6HCJUwDa
Ng0uMIxrUJ+ckPH+sx7K+B9creoMjXA6aW1kgjsxv/CizjZuqcmLnBVRJ/pyo4Y2jHUvUx2bgk7P
h3neai1O9YVH7WrfMQA2Cbg+2T+/l/EtAJUM0oFM6LQMieepj8k80q3DhTrB8zFSlAKuj9keApYr
s8pTs2BtIHzR3LGdHka+Jb2jiQZ45+xx8R52fd/iE9gLDyWDFXaYWxxyFepOBcJBcTo3MF5kuWg+
hmiwz1jI6q0v5HjxOD12RJuQeyAgMgqwyDqlZouFBsG2oM0ey9jCVCpuCXEnEsCxEERhqisAS4LZ
0Br5kDWrSY+BivfYXPSzD65oDlhdgAYaDU2VxeFY0Oc1o80VnWdzIugfi7r3ya9M1lEj5TDtgz4H
3F6bXG11JepdPnMUV1AvxwAUlbt/QbIcUFhADQBzXQPafMpQG4AbgCZZmWjW6PMFqpcTVI6aJmfQ
RFIo/AHxPbSXoNB1xySwVmqkdqpxfIcyG0mZ8hNCPBpcwacAIAC0HMDNFalqgPqkgj4nqUINFhL0
gIOIYnRnurJJkxbLxpGp3Xp2Nla2e99z6W9gmI6WTQd47gmLOuonksG4APZfYEKy8v6ODXIcDEi3
nKDHRPPQP2c1DZ+bkvaJnUd7/i9o8x69VceD8qVxMOwH5vOwi/sxYxEBeidkfMwbARoUABoLqPn3
Sz/3Y1paT0FLEcRWo4P6FR7KLAnmHP0LvNynspLd2Mw1LnwHPi98vrNZK7em88XmcYkd83ko1Ol+
GM2hDV7xYhygl00APl/ofrhYZFYEUdWX84dpgfFZ1NKiB/QOeuZIDj3GO00me+IIe0ZWqQqGLUxK
WJ+Cv6ybQh2WNJ3qRiVuzuwzm1u/Tfu8ihuYor97nNsjIQaW52Cfh3EG+Pt69i5QOiAXtECKZM2H
SQ8u8oAZGdN2HwdIYVvdpmj7OM0j1gI0Oay8cmjToOc/tBbjliDQC9DMit4neVniC7ivdmp4dZQK
AXOECRnnDzKSnIT3y6BVYk3TJIq0X2hP9QnDPyo+WBmAL1iggBx7yIo21C4Cg6YKWssU8oKqNhQi
3gcvLXkB+HL1ci4xPUH1KGsAvSkQHlyi4CsBQiVORT4B1R6wieeAt7JnVX5ykkuOWCGHq2Z7bIZA
Z70KHYb4wtYBhtAxu2pXWTn8Prqi3aq89pddMI5vSk/9rm/QEAdoJruqI8u5IbriUdD3pyCpo6Lm
IoTtM9gcBHTzUNQT1qjlEppoAHfDJYIrmm5LZ9LvdLeMELrr+fnCKCz4PG6sR8JBCPOwH2T3UrpX
ruVFLgMommTCl9lsSDeldz7o5KYawz6ps75cIkmHMJoVX+LRqeIE/SOYFVzFBHgIw20Z2JokKzUU
xmWjbjOVDI2r3kGCs3WMBz7SSCsjb9TE58/eCL9E2Yjwm5Y07CbQMEaNxtrX7abzPEMAcUmYxjwu
GnxUNoBsAMQDV0lhlnoom1GMOXUYEACoX2FxxApURWTUwRV0y+qq0AF+7yzblWbUcUlSv+m5XaLB
iuWNnxm7M0P6QUqdxkFZsPM+zMotKlT5ohDFXES5SqcTENExx4ERHcwlIHTtVxQOD7xwHaiacZXA
tguNRSbzc5Sm4kSOP2apoQKkEbYCoI1SK431edPDxLMEjemJRl0xBy4KZTpvMc3cLmwWksVZG3h+
gu7DtMHAM/YAMcC2ULvtub9nqk2TlaUMoYtQuMviHJZ7NoPM9bYcuyx5XPUPURkgRWGwBItJ0GGs
NT+XXWBDWHhL0NzU12a2uIrKeXIO1pUUrTcVReWlHZGsP8pqcqc2xuje2Q8zJJgcge1umDBR2DPZ
W+Y9VufOLnWtsjSpbGpZXBV9dVcFFmoo2DZkV6UmYRYVFolLXjbOb8Q4vw5QDaNSQ01XRKzJvdiE
yNYqYYMv54gEtXSREd0yxCkfy2yH+ondFN51U+x8mo5byJDkSi1ZVUZEFsO8ySQaXkFpTl7ugckb
k02Bj7HXbbutGzOwqK1796IZS9OeqBAeGjJDBMAgWNwCcwWg+pD/EKbMpCmh3ap4MW9MK8tXA6Cc
P41bApX9Xgb4CiStdR3SWV7wLKwAexssTHUaH265n+4qUrsTOxLH7IkANxDe9nPZNXSrYM0wNBYo
wc5qdy5LSt4i6+mWdgOAfIGz/ReyjJs54PTUTOCoKBVAakpwsOivqPI9UyJjxeqaA2oMTR1uo9l1
ZgN5tdhRtMj36Zz1Oym6LsqUNNupgFQ4wKz6GQQ1vClrWBoLqvQl79L55eMudqRv2be30CXsN7fg
LysAajQccpyeAIBaDKcwdjLktYB10DcwB2JXjndZDbsRWN8uGQ2maBgVLE96BU4YOxdkfVwLu/w0
DghnYtC77Jv8/Wz50O6KVOShCBeZgFW2V7oc08jayX/GrG0T13uvo77OTm3QHAtscGkAWjeoh+Ha
6EoSA8nBCRmHktzXc5wR3myhj/qMHVYnQuhqVwdwDA6lBRFgClAUw1boisEhxSYMAelMeqT0hYJ9
5aijLnsF4cZeFqoobRTkM/kI/+xDvbUlt7u2UQyw4L58RXzd3aqe5Z87R9C1CFzfRtqw4kTwfZB2
92cEw4B1KPAVvMbn0iwL8g4W6JKea3dt+RDcpkOa3phK+DEyTZGjXSdy98XC0d4vxJvd46b5wGVW
B1iVYsPcqJyzJkis1bBunodv/ZSfQiEfhIQ9EWjAoLDGRMG+xqGplaPk5Qh5JilVcAmjvItK0yZ2
Ab0c+PRsZPwVN8OJ+mCv3YO0sqcJW7DQcwGuBH87pDn3rMtFUASJElBlRnNWZxD2xADdbL+DewjB
+8cFuVqM/cPclNpX2dCFsf2F2Pt5jAewwSgDmSYS2TTJbMaT0oROR0vJhi9uqvtPTRtyWO6rp2jp
YY9Q1Kea9wfetWcaCob9vgbcplr3MA7sLM94GyQFbMlGOQQ8mIAifmU7271+nN+jhnOP1Kr+ghln
BgszYDhN49hFKfNXvsb67HEix5SoYMYL/31d8FsRWSSbXBaUQUKIztNN4zuvItUrtEtrg353sOn+
5XGKDwo+6GZBSiEED1iXhOsMh1oMzLLAFlYfApqUmmdY6eW5NFK/1C4risjbUm8bz+sTYeAU1VWo
qtIxm/QyhMkUhu2Ww4LRF9Jn2bY34ZTArbnuMlhMeiJdPtQgZBdYCtxfEOKwI7ESbl95L1xO0oSV
hXzGUCMuMc70+eMCfej7QAV2U6DECaG4lCvWZggvypMpTXSIlyjMJ9i7zxlMbIvZiwiWbOtsV1fL
MkdtqYsT9vOw44J/GEfBxUEeAnaOoMQ8VGcVQMmoW54mS0jKK7Nvs+KpGfs3gppL0tc4bnTfnS8m
l69lX4U30KKhrYBZ/sWiDD1nvdIn6r1jAoFSDy5ZwW2A/bLk4ZG6ghdDM/RpUg6hgk2/tjpzkop3
6YDHNGak5c/7Rsx10hBfRo8rAxYj4NPXYRFuiXCIErDK+mAldMb1Alc0pmyT01E9y/ZbbXHmWm83
pewQgu4fqp9WdvxFmWFnIuhOHVwVKWaNwPGIKKF4CoYhqngv+K6xXUHhogzSv0O2z3+HAex1m9LQ
Rh0Mf9gmN/nAo7yiTROHadvDWLkNlmKTFi17n1sb5jtHWwmLGa0ZrnuUUhY1AZ5fMj6hF5YOVRGV
qB5sXAF80UahCXSV9EZNIoKxGexL25rCUlKHQPtRPUz0M9y2cF8a2L6/DH1lwk0lh/J3N/JmiBqY
8gLO7jx7TbulfTfACgzw0y39O15J9DydpGuiXodNGPWUw+9N6mGYtTRS67iBhfdbPzqSR1yMwRjB
PSBRwEWXlrkLiaZpjMZ0WPIYt3PnAAwvxrOw1j2PpVc19MCis9llwMkCa+xo6D+FQmVZInqPzmFV
xf7uYEm63IwdLWgiOtXmL4OZmLhWZaXeVHQZqmnTz/3QxIAlqWmKuQrOUJ+FsIPR2AH7pPP1IMlb
DLMiaIwk8Ff3iYJ1gX6Oed2lb4uMwoijUKh9g/NMKbyzctQ1DAbnoY0amvc53ImqZ73BeRXSGKWy
EgkXFg9RpnOYlAQ9kjejy6uPwwTDr7hEYa9jqpnzcIlGcai6bTWPUc0d9P0eF5WJsSzc3cQpetnB
QPounys5RkjUSMc6yDKTKLjB4N8ZVWfzVjR9Wp0Zwfop8h6NXeQcDIaSDgeiiAeroGzrFzO9xqYB
KAdrALOSznDoWknVSxJpOox+I+GOmr+A2lmNMIlgOo86tRCShDnNgk2RYdgGGr0Lviw92IDjEwZ4
hWXDNSAtA4CmlUxNNEPpEGxLnY5g6nQSV4p7z2Jt0UDivOU6GjqY4bRaGLjZlAfLZxgHyDJZqMxe
9RRiT4TzVF5PsM5oorF1TQ8dAIW9q4DX1fulyaA8mAaiX0B5qV6OS9+9hqWEro1833YAd5IGXy9d
X8JyNHHDvLfKebrs09aI7SwDDJ8PywRTZFBrqgg0J/JNyB36QMDZ3gLSM80bTgDRiX0mhvNiQGiK
St6yIYH6yH2CgfN0Q0MDHwTTQLhjGNSVp3AVb/KveZqh1zD4JB854IJ5VE5Vu0SL9cObRhvuNgCi
Tgy2glMhEmILlEW2Wzy4eKmKu5Gmy0U5AdQdGV3k1ykjbryguK4vqqAzzc5A1ldRy3M3JCgPZtgb
nPsSxuQZLIH3MCXMLpVh7lUwBPKjnyp+zY0c8zNR5nCBUacVT+pUkSrKoUt5zoLSu0g3Ut7ONswo
2N88ofMgEMRHsBtY1ola4LJSXMM80wMunrM2sogamywNZXf9WHl9PQU0K+IsL4P5TKAFq0hDT0cj
SVxbnOdD1XzoSdd8wGlG35kgX7II9cNURdLw8KMqs7mNFpJ2AF10mXZxXc8pYHdF1YwxII0Z5LiR
Q0020Hw3l3R+I1xFzgzPA7jGGVIfdf7CVrr45BZYJotwpcv3OUfFEuVdNUAA5nz4VE9Z9yaDVXkc
j0qM7/GoBT4TXC5yHxisiCtb5W9RJsRbUtrKbJkqnUmWuajdB0DNqEsmx3i1WYqcvHRFOrkdOEUK
py4osrfF0GsS1wtsVEd1WRj5rMiWYDxPGRZ0qwdApiJsHAy7Q5OObUSWVAZxF8CC0mbJdFVs4YJU
q2M0OnQhoErVkQD4PADcuUIfO1Z5e7awtsbRpIOxAIgLupyoFBNaEmnYohNnuxZHoiBwi6JBvBKR
6kb5cXIme8d4Botf3uRpGneThStmi0OBSapSaHTe5izL4o7AStVZVct5p0pRqhiug1T2DGtB35Fg
sumua8VQnxs5/T/2ziw5clv98lv5bwA3OA8vHdEcctQ8q14YUg2cCQIEARK76jX0xvqk7LJSLLmq
btm+0Q/3wRVRlmVmkiDwDed3vrGPDMidwgjCoQx/qjz3V6ORteXe8iayLorB+GLxA1DoTEY9njRu
q3gUVIio43FwVHZbCzJ0F7aFPshaNFpIrJfcw0/BmFZRL9G4S5qgVg8jDES6aHbLOoxNmw3mpuuB
x93agGDbT6KulEr6YCq7qPWGfm+OoVrnXundGizUDw4iUDvFDuroqLSz8t6zOYjeSgGNOKsF0KW0
drques4ITp3ItIBTQ5EQojFqjA1qtbY5G1Gt+zGMfb8gT5IMYYs6DEoTSVNXfEq0VZQfoPebznRb
qfoKS1vRpMh7c1OZJfnIHWcct/aY0ScDvZI6Bmmsu0h4WY69IxShtnfl2OAQoB0RJjbeUDkrBYGP
m0KECTUBWANRp+7szfdlK8w7YmdZH+dljX2CIA55CsowP3HKmltRV7c42g1HODe5l5EHNjgSKbs9
IR8gg7RlLFAlFXHF6+Le7nwzj2k9dLctZERWwqg0vxAmxWdl6/kRvLTCi8ecau9n3EfI0M2+jELt
+Hi7iNHvNUcledVldM7XjV82W9cdvDmaus65QCGl+WD5hXXG3c6aknmmVNzavCpPRadtnoRUs7MB
/1UWoTnbe6lhFfVzYZtFEZdV17rxPEuEc15Qyc+WqXBY50bmnVS90X8YKR9JNBlmLVI5CwDIAZ3c
vejCQWzLUjOxdvqaBLHZdBZ0JiP0yrEjC+yfodYuXwG8cS6dopuusy6Y+drvy6A/k9pRQeIplEER
xo2hj64C1nUEBIQynKSQtUfIgroimYGMZbFH5PxUi67rEdq0ZIgl7ssp8Skk0T4FMw7UvKEyZtW0
yyyuYmW3n21ZTGXcM4ecNnZR1YlG28ZVHujmEksIpw1qSHJdCFrvm6BnwcoIVfVI8T6KWI6kKZOO
96OOG+GQh2Aw8RK6ohie+DxPbiyRwbupR/pg11GbiogTA3SlCfncUzcFa8NuBBh2fN6obS1rXVFu
DM/t5OdGWraNVcZO0GboW0zhgUhFguDGLRuyEoe/r3d2paiRVJqoPSdjcQbtWFcnhvCdq6asI5QZ
NY0918G3busK4bHDLBwlyuobEIGS4vimmaYCGliiZmDNfcdSm+bTPqgCI1tXBMKB1Fe5OUbY+ac6
Md3AT1lLmYi9omSfnHYavwQGQ0TU5V57GgK1caOcS8jwm7nyDGBRAWljpE3cjrmleYaACAB2lGUo
1EUmc/MxBqpZ9zEiX2xnIZr34NtdtxvSucKtOSRZ1o+q1i9tgbeJBEAYNGDw56GIuFSnthxqzmYu
SAImpQAihDymjzJO+/2MKlKUebO9s2VWoVNi1+eBL9SFqwOWTE2ZXZceJVsy+HoTjrl/1erQRWG6
zPYdl27kSmmvKexY11XlWLHqjBJBxAjxulZBVNWDplHPbr+fGr1TvwFfCqgZfI0Bc4olPs+01CoT
RpYcdPtr0xudrWNqM+57xz31wrGKGzOrzhBgF048Ad06G0av+IEW6tsCDuB5JPTIzw43d1ko9qdQ
cTk1YeJYjYiVUY1X2GsQjncz+/cT8zeXWuShhAjGaIVKx9CRYlPU5nBN8sZEeaPl62YGKKF7duMg
PL7//p1+p+4AwAcslRvYIeCiQ4p6VKX3Wocr9L1D5BXcSpu6ZimB1cYP0ux37yTkzMiwoX4MlpVV
bXR10FRVmIAQa+9bGD8NUQCCbY2q2w8pnfcvhnQaMm0f3geLIkeIE93hJeo3TjXRhFM0SRF5XoUz
8qbv37xv83csEBQzvl5pcfNoywuoz/HU0BCbNoWf0U0wTxriQx/K3bxXMYxVipvvX/Tw8RfvOsqa
UA+AIcXL/tLeOHpi7qiyom/GMJkB/yWz5ddJaZwV/YmZZT9CsA7L7ptrAUFCG8f0ABEvviDvcioG
vw2TjFnOZxUOrkpsVzjXdBJG0siyuyk6u3mwRm2uJ+pad9//ru+sTpRO3UPDwITp1HLdKC9D2G2h
bmxbyr9jDbBG3y7lb+243y2ELn77Qr854nykOGDLvPjdPPqPv/6v06+O1C/2xq///mA//fq3c/mZ
i5F//p/Tp374Hxzln15MqZe/c7jyH7+EC//+SQ6eQW/+8o170VcXn8N/+bM/fGNe9MY369i8CIyp
hYPo6PYfrvHGweirrePnF0+lgzXQH7/01cUo/BdECegbQF+HUj4ai3+4GMFP79CxNkwDWCYqi4cf
/e5iBDM++KAcdAGocqGzjJI8nvNXIyN4ZqNcjwWN34WZBVRFf3h+v3lycG36/e/HXkbfvBwHEOkI
erLfbmd/Cj1logl3gZX5P9gB3mFj3pJPh83o6G38M/LJsgaROqS39v8R/Onw4I8/1l9hkr7Zbg9G
CYdi8m+k1ZITRXX2l0mr97iRY/5pCREu+Ce0DNq4Hkoz1ra0Vi8klJ2ZbuLXzExfcKjBFTS1dUd/
1M/8ZutfMFGHnevouf9bTJRF8REtW7LNCxjljLaz62e/W3m5hvBRNB37aUTq2xfi4PzwFZHCO/j2
c76HSBXUQ0m18nT8E5zUNwV1EBfHnNSij7HgpDLm8LiwZZM6jWvGGbJ9eE2VZD1ajkiONqt3Xv1v
zoqXK79iU4s3Uf8aNvVtE+NwmSNuanGZV24qL2d6MuLku1ANHJ18MpKzF4oKEJVesakK4yOUCkKy
ZJwMtf0ZnOqdxRgc41SLXe8Vp0JpFVfNhZ2+x1SNjJRrasBPwAnk4wtcxXnWr2w5eJHGbr9TJiNJ
P8355YhId/39B/SO8ALHwBFrtXhnXlkrT/ZmQvUgY1WoMa5Cy14Jy3UhE/p19Oq9lXqMXi1W6gK9
cqqxOc3saoClWDCn5Sja69wah+gnAKz3bwT60l8JrMXu/KcEFndcFhMBPHgictq8slh5hjqHy+d7
t3erH/SO3108rzzWUqn8pzyWrZsvmc+Rgpkz3fxgKby3LR2BWUvRqfFjMEtOCnSwifTOt7Jgz/ti
3DA6s3hghG5ohiYCWllz/LOw1jsnO1brK61lHe7b0Q7/yjUxAeF2afZD7Goyxi+EU2DAOI0RMoLl
mki05JzGdpx2U4Dq/a+CTkcf7LCwjz7YP4eRLc18UD36ZYzsnSjiYOnxB711WDBHX+qv0Fvvrb1j
emtx/17prcDPupQPfPd3ElxLKco/TnAtDoNfJLi+rdBgHzxmqBbn4ALhojIIkzK0SyBx/xzHtVg0
/xmOa7F8/hmO60UifvQ+/AWO6wUJe5PkH57kEce1PAj/4LgG+IPAzSZw76qgZVErZbHuFT0vyvI5
KOop1q7Lorw0Tl7pLjtAI60wPPrhhe+qYcyGyrYD7BJmZtvRdnuUtZ3w+SeQr/cCPhvCxa/I12KD
/kUE693d4ugqi8f9j4BlxzDWYk3/Ioz13rc6vsri3r2CZRVTwzbs+jl6ocsgPDXjQQfmj/Lkw21a
LrJj+muxXSzoL8ja5SMcvrKtIhql3S5LBg7xyxEKBnE2DtfeCK9mYkByIkH7QDHqoQvRkfOuEc2T
U6vwZzCxd25OeIyJLXKmP8XEqOybEwmrox/cnHfuzTErtiRDX1kx2+rzXdnnVvLPAGOLtf0PAWOL
q/waMPbeeQTu5JUYW+xir8RY69TdFs5Q2ZrTMlgt0DE1knZtGSWL/wZ+bLHIf40fe2+/Bv9yqAD/
xo8t3t0FP+aEhZdkXstPXyAyqfS6bxxrWxpht4Y5Ck1Lt8rOgm6eYTJMYsGhZQYkM6SDNjYSCq7C
Lfx119sidTVcvcvMNtY/wZm9/4SOiK9FYPIKmqGrCY8AsxrOYT7hvkucMZhL72FK3a5/kHgcJNSL
fQg37xU7W+Sgr9hZ2In8GXl+sX7FzuhctxsFsUo8SNc4/Xv5s8Vj/A/yZ986kMF7xj3izxY3acGf
+bnX7Utl1tsXBo1wWqxsxtu4JW27bphdbBckGkRP/bafwACVsFpfTV5unM4QFcYj1iM6qZZ5/g9A
aYv19otQ2rvL+phKW7z0CyptNDt0GkZZJ0syzbFpv4OkZ0olZHY/SOIPF3m7rN8iaovv+k8iaosA
5W9H1A5fZflVjxC1ZT71iqjZsrIFPD6apx9iatTJblU3nv//jKod9oflfThG1RYH3iuq5rQz8NUW
Ysug9QHNetamaAoXPv1Ouf3+9vneMjsG1xZ71l8A194p9YOROyLXFstsQa5JqQxIQarq5AVfqxV3
0pLIfVMa9s1cU2stvaI6/RmO7d37fMSxLaCcV45tgoJ3lY3CuXxh2SDOHKIQPGIsFBFrrx/U6k+p
ts4fhiSDhHrvOFMT/x1Y2yJq/StYG7Qr1I9h1tWvvr9evo1s32Jti/XyirVlBBa1Zmu06SvW1gul
t9xpyenfgLYtrvwX0LbDfX3zHgJtPFKJLPvxC+mGJ325bbwWAqCDfgOzL8wk9xRk1V3A4sYmzb+7
8y8uv9j5/4pI5ZuE+3CpI63I4pX8Ra3IN2vmcJUjrcjifVtoRWBFGnwksnZ+04u0OhtXdVkayezl
0/33V+s3u9vLlV/lHMsd9deFI98GDYtLLZ7aq3KkryZzT8wwizsIMKKFfEQKyWJdiScbutIfvJuH
p7VYt290JIsmxF/SkXzbNTuQXEdCksXm9CokAZJLzys58PQ3NcnkT0Vs9YXYvkhKgEyQDamkiKfa
LVaQ48/rnxWXvLPQ3tBli2fw53QZXA8jgtEqtz9LmL33+N9cehFgLxAzB22Os0KYVfrKmQ0utJcQ
Ms5r1XftahJkTr+/2mHf+c4KgHYfUg7QYLjI4lNk1NJTkzkBOIwc7j9Z3RbnM3MdMB0ejOLBPNsO
ZhwB7Qmh8cbYnAS+nvNlII3pYYZM+AEMERyJsDT9je4CRCDUg8g3grRQo7msqSxhVMqqMi6IbPLU
H3K2a0KrMKFmyylMHRu2AhMMIsIbgMms+lCJOS7duSrXmnGOwRaZSWMH+YOOBekqFndiJH1qUf7Q
t/AWQefFVXU6Ovkc574b5phyUzHMG2LKgZBaAqWJTeA7ZTIEAvSnTdWJCYYpamsbPhFt3ttdAi/E
5owKPXSwo53aGyMwSiDgwu9v6llOflrl3GWr3nD7j1bTy4um7rM8dr0BBNbUEP+Rj9V8CdP9pkhz
Q1YRN+gpdOT81IIL8IUpOISxo+NhNFJ9sNGN0fLvz72ub52o6ji9sFs7s4HvaPkAgEA8zrnfWkAF
uLrQgGGu6gCagcgyhk+QBtZNrPTcbm1uQI6lx6ZK5NA1QQTQv4KDvHZLJPeyoNDuEzhxdApjqpLA
Uc21VjmBgYUJ6bbpgccDyqD9U0KM7nkypvBKdzZwDVZCPxF7cCmQEB+DA/TRpdWrYlaGF1OnKs5J
WEuMCANHcK1mH6xECJ2bmU6Daw1RQ6pTD7YtH+eyKZ5oXbfXIRTTV72EvhxlRtU3sahBwka1auqH
3NKnZktkG+dw8LiyJqe4x5Qx74bTJrjrGmsI49GeOxIB06mmJCfEb9ZMC7uMQhB06cia8WEo8AUi
6gSNC7jIq28GqEeLKIB95s6mtU2jPK/CnRz1R1XM5pPPO9libokPC0yLe/S+doUCHuLaOWwSc0f7
qRegIL6TzLM+s9FlPtA6RTge+L4BEpg2Ieg8OHDDvQ4EBtwiYBcwUqAjWEhQ+fIJNsBQ3N9X3hT2
UakAMwA16/GheNfyZ6PIjE+NIcxrInX7BdsdxMRzMDe7HtZ3dgS1/3wOMG6cV1RitTVhRk7NudIF
1kkJbMY2ar4JpE+DtG0rcB2YnwTbBNsemIA3vm9flfbcTFCUCnpAru355jDzu4tIPVzacz8dSvkD
OCYQYEEb94AwZ/g3d/aNac+CRLDHyuZE8yK/sAvf79HZKc1t7rFSJwNlEtYeWCDowna2vZlHs/mc
e9R+4gTsw6DFAYGC39fDIBlrNoZFh5P/PJNghDq4mIhB7v9ZLgFQFcFjdWZo4N/CCRWeoHPKbU9/
fJ9QoLn2w7g2C7mBGWIQA1XqT/8aq5A5KsTMOkeGGJmX29O6hIkTS4+xhczJUXlrJtuU8DpXfcI8
Can7ywnzX13l77LJ3yWScFtEdvHnkyH/t8a474UW87ff+SqrxFBVy3YPE0DgjQADdYS8vw+H9MN/
AQaHBxT+hMEPJhO+yiqtf8FHD/5ooBYQTQbAIY5VlZ4FR2PUpTCvADphOIV/1ZZe/BYEfm9CpP8i
dX8TLOJCsGrGsOQDr4yJdggljtqRQwV3Ry+TsFO3vrQKHkAZzPLRnnGCfQbDrmgIGy9SMpcJ1pu5
aoHWYekxHAb9eAvc514QGC1kbtuuUNup9qbfhytmO4cYZ145MD1b93g/wK9hw45MUnfXlLJ7zRue
WBpOQcTm3nVJnOA0Q2XYEtpbD6xu084qb7FHisgaw3Drh3WbSN3kKww8CO8p3LkSwLjtShVDnvZk
gBORO6ybSU67uvSmNbdy8DiBjeldCo5srgVGF6Tcno3To8e4jUJ4DyTSBodmjjKMqDWDtXRL2PbX
WbjHCeGtaypEwo2Cr/KZ1pEayinuXf0YjAWNWVuzjT9Z4z2l3vShG9FaK3FCrw3VP4UB7VfULHli
S11G9SC3c0gjJjrwsJJfmB5pI6sffRAcvr/ygHgkLTfODNJeB5noYYnn8RNFsnFfYtxKGqqh34gm
k2no5O5qCuCmXbmoWkie3RcuqyMPbGXUjPzSoBTlfvUZJhzPBuwO4gB2enGj+EcHUyZSKdtPkwrL
NUEwvMo956Ke6zJ1h+a2g4Y/Hs2JPOdGd60GqLjCCgMhh5LrS1LZ5Z43zeeqyvNNXrFxA7SZRn7l
O9EwOCBip/qjnbv5Zg70Zdv1dMVyxzxxMrg/KZ7f5/DXSsZSf269Jr+zckdG0LJNMcYINjhQjWZH
8KJcKNeXmzofMImTj+0zNZsbzcU1g7l07DkdhsBlI0BlWJG6KVA1ivhvrle27h/ZJDcj4gQcoA4A
8woYU2Y1WCaG2DqNsPcHO9rEd3mw8jBHIxbG5JxDvImzcAKJGdpXYSjnc9+pL4uira+mcTzxw+my
1iFPURtPxBCQyO+mfi80lozfWxgmynEGo836mNX6UoS4ZznjbGPjl2IDMxDjolLjhSycaVVjNmTU
Obm5ozk57etsgyF+9COtRHkhFJPXDMDxecPCIikC68sIWmwlispLTF89ANPKkxrc2IPt1U7qBuLc
wgGcKiuz4sqmd1bfYhRUXZ/PmAKCCHsrREfWQGr7FB5dK2fC3anhzBfpsPTXGCpUpaqn2SrLVLAq
Gv2x7OwANJmxKs2gT+AbdFJTtdfS+EB7MHwM0wYTjGgJ41K0GSCs/LmBwSDmjrJT2ZcHLwInZVZ2
x1t5zTFOBbja3EQOXM/WM6vkimQzKFRefxhlYa/wzp0MEwYgmaRbjcrsAWrRDSaWnGBeiQQAP3vo
J+T7Btb/wHxZNALvi8SYVfEsBp2aWmKmV1hlUYBUMuK8aSOee2dCgLNsuXN5ADQiq/SnNMuCPGqz
WsVDZwR3ZhcWaWW1A8ahuCdmb5BLAduYXY9IYmfmJY1gH34D3B8NtN67M4bqVGNspYV5ZJh6NIBc
ngkCOmQjseVJEpmtRS9dYbBN22RGFDajvQOhr2NUOG5qTAKJTEOfgV1vQODrABSZvlQujAAKt9pT
4dELYKswBICVxdrn2oyIl3nR7BGywVyN65Cx+7ZqAW76Ax4Utes4BMB35pvduiqFGVcB56dD/lBW
WEEaWVrnZYhWBZIszKFq4yI0HkRFdcRqWoLRhfEzfA3MxK4RZzeh92CLagfEIFx59ayxXo2TUMKw
0psx4HHg+lYS9mGS5mdmlV8M6IAxHNenq3LwwNGWGDxahOUUsREQldTZM7P7L1md6YuwcLEpmyzc
gO/CkAi69SWodqpNfUFZ06zHObNP8srcgMVFnMJ0j3QyGOMQSki/s7+4dSzEHmYpCeC264nLLezt
wP1oASjdEXCymEwHplEFEowQyaTOT2QAz3vVg5ETSDTWIdDYuB2D8SHLpp1nKnDspbsprLKKM997
7GtxCOXPAgLlrOweMylPzObwOWC9ACeBsD71ZJW0QhTwTZlWkohHRcmaKMfE7Mv8SUFuWzbVGh5+
XtQGSBvkLE9H7JgI68GtZ665Vs5hpAQzrXWGpcmqPs6I+gSPO6Q61ohRPfvJ3zl5H1dV86VShMUj
zS9w1nnQQQYfTexjwN/bE8bC4LQQKo+aat4LaddR719UOD1gHSlJH0/yvKu9IBIkZHGgzuYskVJG
ZdatCgd+AciR4JJhxWYrY253Mm16cz+7mBZkwwXAzO/COu2ZzbYgOnG+H6hBUDmmgvtAa33C2LS9
G+BD1S01tnnV1Bur/lDnWWwCHk8tPDBZKSREVVXmUTBAeYxmrR8T5NIwFpIW8rvqwpnoh44C+uyJ
d8IrcsIt41NXef2a+2NqgX8fQhMTR/BmTtT+CAsbTCoor5sB/2jzEp4BMczFLjp4DorRWFGy49gb
huEKSqaGTbFrNkj+dcFSTbAxiax8nHxzTlU76Kgz9YnT9P56Us+Ge/DsOFf2/uBswsPhTiIJBx27
YbZO61BtuNnbcen7EcmslTLAS4u8hUdLJZLKhpMcwXtxOnvMiTKtrllhXqP6E0Rz6/U7UNLWB0zh
fsztGjbIPTIA5zKjKHYWkLbA+UH1a9I5OyLzy2z6oqiXegoUPp13BL7JDaItPl9kdQAvH8Y1Xtjp
ybSQhBYsRwJf2ZdBvjd6ZJMss+v1iBpLmmsnhUXmvuyB+QMYT3uOqK0yGVLH0Nfnne/N2PfhhpP5
ot9pEZ4PRd9FuUcwNa5sq3XQtm1cjWRjt+bOzYMdLBuLSBT6op3HqzYsz7zqsucw/h9aZJ93AWZO
R70aNlIXT0bZ39Z2f1eFak46zO9aWT4Qa6PZw2Xzzq4HGrUGu4LtQ3dpOG0eedU9wN9o1u1OHG5i
/5yXmOlc3sCU/I6KCeaFXlJjECkci0d8O1iC9J0XwtlLoUNkXHMTMZQuQMGSwmkxjBKGCSoIp9TN
y33twYfONv1rtyr8FBx+lraTB6cFcw42qI10URdOn3xpnRStHdPWfoRRbyScNljBT3FcUQt6nWA6
cbCdIQIdL4dAXVckzBOcajAjnTOBWaX8bhxQCOk31IWljTH2H3WOvRAzKD6MaKPXrKk2Ocs3PuYW
GMV4IdrqnDf6c+05q7zyYgzKqCB77jd+b+6I7q7h0GlFlqoJdhfvpoF/YRWSlHjtI/w671pf3zs8
yFZ1w89hz/Uw5HkIRYO8N7J6xQfn1BunSwhkYLcTdo9clV/s3qJrO2RGHKCXBn+TsV2XAflE+vlj
6fbYoC22w8zZW/gU6Qgx7AnMbLA5es6mD7JibdL6ZqzlkGKEZrMKdCcQCMwnlbbchBQIWKH3hpHi
AB8GbK+HgouLAMj4iCV2zVQpN3YGTUFn3vfF4eCGHXjFMha7DDVHjYFfEy/75L/JKS8/ikWiicQS
2eSfJ6dxUSI65k+avvuLrxkqfDzh5Qk/QBjZuYfRjq8ZKoT8MBM8ENIYWXT40Vfwz/wX2DDwcZgN
Zluhbx5UrF+5P2Sv3uHfHuzIYEcIwcm/k6Fi7vCimO3CoBd5MiT7uBKMxhbNG13bzoSB2zaOTuQv
UDCC5MApddkOfP7iywLmFZqyXTk4Fw3GB97PDZa1wnzIaCKTjHXZBesKE1DXlpmTSE4aGK/XX5LC
MqIJVd+0mLI7xBRb1CDv5qJnO04OtThicngK2MEGYvkaYzUDeudlc7AqqUtSOCNkMO6EJpbZoYj7
0nw2M3cHCyiQAU4rNqPffOmc5hzj37A1F/lG0/CWwiACI7XqcNc0OcL2WSlseNa0ItSBS5MLN+ch
uMa4yzMGYgSfNUN8kFlVWjnjaWGOzj4zzW6bY3ATEscKX8nrz/M5v+1w8F6MDHbQPDC6dGxgqGBZ
PU4aWBlGtNBzJK2wgD2GicJ2gVwbmbsMHFQjy/G0a6dPQc1RaGxGVIq9bMOxocHUt2JRVVrPvFYf
h6o1Ikzo/CwHxGVmOz3QyVk5RV/GY1UZUaFJGZuuaBF+ICvQPKcb2xvXKOtfYE7MiGAbhi6TAqhJ
AFUkzAxgQGQ4fANrOpSrG8pSiI9vMZ7gQ6PK8kxUyHFFFlBI/mDAMnaSRTZijxhxqRmZVBd7C4FL
amm0EGxz+tTDTTSCb46ReH6JQ8HMKBq0cAqb++xDWdNqPepyQ+m8Qk8E+SFzFM4gPzxXkxDwXZpA
6IR8RDEYwudhdPsVBrHeqmzKIHHq5iRnxIqNg7fO5GEJwo8xKikmos+6q9aKiTaeKudDSfsqwtCy
IGmDok8xfBZ2LAKTJODEEyKBteE7C++x2LDnIYaBj1ppUc7nputWkT8GxbYhE5wpMvxfctgxb0v4
bUSVBV9UknNYhrSYN8Bgg4aipIbTyoiJnShUA2a2n3Ke46FN8kteN5eBmPIIkppUOu0ZOlAUN6or
ExpMt1TTi9KYn2D14WENim1TyFsUnLzInP0tvFs8oFLyTnrWB8sanYi7BRyeAziv5Q3mP8tSuPdY
LvphLozhM9zeeaRY9pxnxpWJoDhWY76HrVuNoZ0IIHEArxXmQCSqnruND4PVNIPcY9fktR1PU89W
SB+MU7jMuZsWdjJxQGAaRTyx7lxDrvB9Z/A4KkwYBuehtkDwQMHjx2I40ON56J443Mb40EGHZ6hr
Y2BB7tTrYRAshaUrtH5OiVwnoAzdj6C5oGGhDnZqE8zM9YlGHT6uJvdC5ww5Ha/zCNU32FIWI1Kw
Wd4Rh1XXrDPMCAdp9UkxjE2teClOXbP7mOcZiVTI9jXGia2FpbBPcGqECSdbpKM1agzBF5hJRf0M
hj7CpLcS/Rk+wUBHd6cud88siDMvq3YsT93KcLe+mVkpLIGvUBksYT/kD0mj4U0ZCGLuhFezuJ7p
gwr5rsUgu5SajK69g8WTSYgb+Y7YtfChwehN4SDeaJDLkM+eN7ZRYOWPjYAL8STw1mV6zdGwQm96
b8JsZoW8ZDMhCY0ZcW4zTlBUCFBpEvMVxomxTY9wdeMrdENmq/xAbZ9hqKjpxKxD6I0HvSn7Ye3V
HB5kRnjTijGPy9oY0IjCxhXYj7YOTwhT60YodIlm9IO8VrB17jQyMjKxzwe4ynmDPa/swaJI5f0x
Olhq7f3WGGExNuOvJb+i+KVoJFRsoBEXa8ZFF+PmbHo5WInrFaeVary1N4Efm0Dkos4Di7giWzeh
vkRvDVkM0Cs8CueaC3qnhyBRklcR3BEFMupJnma+dZE1+E6wTp5RuM/3coQLTmblY8pUsG17DzVF
mzb+CTxMIG9tx82AfB1DwTERs8qD2Mb0taTM0JRgqBcW3D8r8z6PSENO9IDXBNDd1m/SvEFeBJkX
jKPGZy4QdIeDsxWz4pjP0CFtl/1GWnCPQwk1MdpyXcA8GePy6r1poGomYeXpWTclrR/bwpAom1Wr
Aq5vA2DjgLMYKaiIQhQEIxdA8KYzzVghGnar8lmUJZyHw88wHzbSA82R2Cp8yFgtdtSE1ZaP4bPP
ynLbrXRod0LRDaP0gG/m2SeY8rcRhhNduZOImWVtq4ruRmpel2PeRfowl135Izz2/FhYRZ/4Odx2
4Dr9IT8UbczBZ5FjqfZGo8cVG/Bb22CpPLqtTxIIIc6bsjvLB8bTIW8/FprSWFpBcQGTzDOXlsZN
7QiYX+X0hAG4ju0B4W9dqIfD5MDYEtQ8R8EYsGuPjB94C48cVYcbCJ/GLYbveRG2BhwHM4Vn8DB8
gNNBHvt1X6W2mCBd8p1EzN6dxgEYtWPxlNFCREjc94Fqoa4uSX5CDbWphnmXez0poxGi1yhnJSyD
iOved3C7vmw1+oxTbj1axYAeqig+YAxk1kSuK8nGpK1K2GR/yVmDkDqHrac/sGvs7JjqwkIkO3Ym
tm1rXgYoJvaHquJcm5dDjuY21Y3zm0bgvx2cow4ObF8NDOODGOg7UfLT//0/T/w4Qn79rdcQGQFt
iBwZTjqYo3LkjYEmDubkuFCJObYH713nTRPHMj0AULAcPzSAfAcqldcQGVyW5+JnGHrhoMLv/zsh
Mixt/x97Z5YcN5J16a30BiDDPLwGgBgYwUEkRUp6gZEaMDjmGdhTr6I31p9TmSmSUqZS1W3/U5VZ
mVUWk0QEAHe/99wzvCqRGeEQBcxAiFwwSzd/KJGpkYfFnKxgmkS56zst3yi6q/gdUGwNJFsBzeIh
O3BOd+dCorZFnj2CU+NyJRHdWmK7sYmLogrcmwP7qsC/mcSBy7wyH6pijLbNzHIBcnbwbQNGtiSg
3IMss4rrcHYHZdeBOjeNEc6g0MNEAgAly53ZZuQwtowpNWu81CV4nUkYO2X2Hagg2xzBNh6ctLVY
XX/FAjINagmEz5o+3pgkhV/Vald/6mdlX4ObVxJA7wZqfOTD85ZMDQpMEGKsHw3Pj0F99klH3T/L
9YTFdB/CdCDhg8U2ylWXyPXXshB1uSLtp7X5tExHL/tYzNPkLyzhSGAwWMlVDfPUuo8nNulRrnkz
tbA1E2wENRsCdn1AZ1hU+jObhSJ3jZLtQ5X7CDlHdyMbCy4aTLNcTGcXy2YewPZTRSnYnNyRdDGD
eczJcKgW191PcudS5R5Gm29tDLmvwcVvfHXt36/qoL5v5e5XAwfmcj+05c5Ys0VyYidXqdw1O636
lMh9FJrIBRmkl96sYR/OVguRK91LhoFvyX1YlzsyVIDMt9ikyx5EY5D79sIGPrORq3JHT5es3Ixs
8uNSnC25efDMDscL65reirKicj7X8nyozDGc5Ikxy7PDladILc8TRZ4s3J5p5zTTzbiuKf9uonGq
KL266+s6ovAGaiUrvT+iIZ4Ct55sv00A3NdKv1UJj0i0xjjDYDbnjhpz6LjxWZ9W3VlTNEcXH/Zj
3erNRjFrjQe2gta2cbkv7WamfucL2F/mYtqb0CiYv38x40RFwdilO71y1G1smXM4O7buu4P1kKjR
sU3VfaMdChuZZFzxtthXSxNXxywi9ronhgv2tTtvrMTdmcnNIK66DBd6Z1s7+qUlqsBclto3+kjf
2FhiTGn3QXHbfZIoF44XCV/PFcvPoQs15SXkm3PLJACiwosSvgjltbMZjDhYzfHBm3GJrq5axbvR
hjZA3ANciy+mA0ob+3qMWaEWXWVehGJuTkLQ6evO0U6L2ql+FCcdE5SjNXxxrXHbDuuHtM433kIA
QpR85pQ9tbHV8lKkB3XproveXq+EKk7GMGWbxkzVcJpdRB0140MFSvaFUMzZl1QPCrUs6tyNUloM
Dm1fdrD2au07LYaD1VHC9+NWKMohSVvr5CnpsV8y5agw2LiNVe0T6SQqf8K4jQBI+z67N+YBV1yL
8YaXf1rtd/UszrWBaCzLCxfpXtjM+u1iZI9KoYeiMwPNLI9TuoZqzcWNsGcRzWIJ1yU791KL7lAP
jN4I2HwTX60ZunILDkuLD4UAPx1U5ax3y51jjRFphYW3S63x3Jh1lmIdf9EpZd+11XoLz969teQ8
RHJat1kkzgSjkiyzMclrNC3I5ByllhOVBN9SUFrjfS+nLRqGy+SIMIFp8nLcJAxlXFw45YwmldMa
pS92rpzfxHKSE8mZTi6nOy5jnpJxzyznPpGcANlyFmTIqZCQ86FSTopiOTJS+B5Nrb115DTJ7ps8
wFf5IpOTptFL3jly9uTKKZRuJdqGeCPsaeSMSpPTqlnOrZSZCZYtZ1lTU3gsqfF6HYrrSM68HIZf
upyCeeoqzizMhc+sSFHeJkDyqZyaqXJ+1spJGvbAE4bjcsIl52xDniQ04ObbpPWKQBEmKAZtkOtZ
hI/JSR0sOGZ2cnrXyW2nlxO9OmVkkPcqU8H0YXYq08+YAdp6sS8YtLKbMR5s5ZyQeWEvB4fCLT5G
cpQ4y6Hif6HD19Dht/pGOj78fVV0/lA+PP6f//1jWSR/7c+yyHsjg450TWZKkYNImfUHcOhqb1Sg
Iw96i86oHYPpv4BD9Q26bpYe3nq6DuGEk+J7VaS9kSGH0nVLUiVdTf094PBFTYS1I/GMVEK4zPFZ
VMg0L4ktg+ItIq+FFlg1BvYEkQsmB+mvMhNfgpPfrkKCBd7WkqtDLffyKlUVW4tSRGqArXfCwTI3
u2os2pNbRsoFc8ZfBdy+pDZ/ux43XSYneoAAzitq8+omBB8RcxMQV8fpEZXqhtFadlJwtd+IWmEE
NLV64K72r5xdfvZNqS+xgJPBJzzYl99UmWerLEfwnyqtmh1lU87IZcqCUmlW+vDG85+9cX9QlZ4b
vvFmvWSxG+SOSRNQ1yVWhmL55fU8hciJRRDYVRNpQLRuUn7GEUanLMiqY9cpYAG1XfneZCU7I08/
//PVTSkjecmL0lz867AHdWHyAjG+vLymKpoB9OYEtt1d5H0ZJr16PWJ06dqkHAk2bPPTsO444bYR
uXxY2gzi0auvjbHamYAsXq2F7XBblmew3Uv96Bp3rhpm9R2e9encbcSw+JN1HNyz1b6dMPHP8cuf
7rrMV+cKvPeDNSah4QKt4Zeb7bNxDw9qM47HCD5wm+ZMWG8y51tXiGnhvzbZU1VNBr55NiYCr10h
50JKO43UCfRil8UqA1MkUA+N/ftxnLqqsnWwQjVyr17HU3Wi8GI4RqS3xwQHO5u2+FUEB7FuPzxA
XlYDf1c8PHWDF+nlA0x6HLDGmTCw3rKVz50T1W6oS2ateCLZWqSdJiC2dXxRTaA8PdLOhXPeXi6r
J5ruKhm7/Th2cF0kj7dmNnFDzoD6GSJx+4iXNYRfvMQh/5ZCRDXTbjjBiZMtpb88UYWbuB6rjdVV
Mh0gAj6jylAmELN4Dpf8KJ5Ix0s5tlR9kotsZ56antU1trkQrjvO7vyJuhzpZX1vPBGaR4MndB0z
XX7IhP4p9lrvrAUQqUDz9OTMdYXCwLYq81tTLJyuQhGEDlAiDO9nNV5Cm9iQFC78UK9bs4K44Y+q
3dt4nLVQm1yj0e8a0RSBURUdAJ46ERiwqNDZmdilQKvuUk5pMFargZ23iLKgSe13Q2NMewQN7hn0
egdYci5s4a+iZwyS2wuzQQv3+0vPnfoLRR/zLmiWIlnDqPGiIixccEGYc4N7jZl5fpMT3nbX2jM/
6hW4U35H5htjHJyDP6jz6rwbIb1HATZ75n06uDotR+Qw6Oh051TNMeqGDov3D2OX6dclzvd0GYX9
mJmNYm8ad2ER28aOgrcM+1aQZE94NYL0eKF5nLEjZh7et84nsbTWxybt9TtHmZ2bX5vkx5raXVu6
rb0zK5q72dTG0m+9pWsPWsoL4n9zy59rZiI6uSTqJh/1iodQa+N+riLnbmka0MpvlvlahIcuBOzP
izP2zgvXfAe/3X7LTQBlnEW10wy9f9dUNJyxmo1ryP8a12MTz5OG17Wq1xCOcpnv4U7DFJZwC5gs
9Eyna3MyiqvfNNSP7Xm87/kuSQCTgloY4KE4FpE2Y3rvyjqtHzFXhdVV0ekZeV4/c9kXhehuTfjl
84QGaBN1NgCiUeBtXQvVZ1pGZ52ohbiPa+JBGARoy70Td6YS6okxr9shjYYUjltjnjv9tCQbA7HK
bTktrb6NdTM+V6lPH2LDuqth1hNfUDudeU/ua93EzdfWaZNfbWQ/pt8Ri2rpJDLgz030tcSGntNn
VWE31ZwR6+lsaLm27NfV9Yx7trmrYCVtLhbho6fIfF/57fzHlxcGeXp+YRLtRk0VXLi8HadtZW7s
m0EJknBYg//WxK9rYuxwIWGDqv19SRzm/+uyfT1K//ZL3wtiQECqYVLdqcBs6eX+Z0WsMi+H/u2o
KLJkXfMMJzTeABLKmthgom/iS8Er9CdOaLzhD2nko5lM6Kn2KL9/g+wtX4kXJQ2zXtVmlG5z6KL3
fFVR4cee5y2qpkAryPKdxuKdVbfvn92Un1RtPzpMcBHnWRzka3nu38VBNlNe76oKutxTJKTFjCOM
ql5BxJR3+7bWE18hPRBSTfFHOGQ7wDGGsqvvnhIiF2LX9xCQJ58AMXyry7LcL1Vt+/8iL/Jnd+pZ
XqTk3z9fXP9ZXONPpJPcKhBlnrFMpXztQ/gqlTIymDxB5l1IQii9HYG85VHxCOEAm872KOR0H8am
9zTV/PdBlS/7iz/iFZ9lSL56R/5HMiRf3e3pbzMkyTUrThMvybct7W/LXI2V+MNKcJ6FSL7atX8W
Ijlr5Xya86HySSZl/p/q9RY2ahKWS+9s1zK5dju3eVf+lS3pxsnMiG+K9v+8gn767v2V+Mi+8PLd
+88SH396A/66CAS6lxf5f0mw/NETlR2BZEmb/z61j69aVuq0P9Il0QRawPL6cja6ZXWbGq1+wrQp
27pF1V54Vr+EnOLdfhiWbDsOU7n7F8mTTyEBr3fB59F8rz6OovZ677R9HA4CzWvgRBk4OkIE0vEi
b5Kz79nEXApdJg211+hvswr9QFaSyAVSp8Haqyxba/ZurZXkDySq9dGQocK+ibVfFAw9PbEhGBrA
psvKT4Ojl0Qi6BDmNkNLDAMkGWXuA0pLCCzMb7muEiloa8H8oG9Ua1aA+k0lYwGr6BO/Ss4TITrh
l3onh/yW19zkhUYmSm/GBqNjILpPDPmnFiVoWyClSEfJineEjhVWmhuP7TJ4ZdjE7rBuYuL0IEwl
Ggl9yWgulL9xUYel1eQq1G/LJsPMtWHxEBBVBO2C5FCqf1RG5M8ycLThIrbt9gLQ2yEHJ26oe9aE
utzX0Q1//TeROHWSxOcVn7TdPMvFGcaxPfMytT4ZP8/GyTKdvJqSqpBhbAIf9ykTJxohn/h27d3W
yldrzOqvv7smARvgtKGofsrwfLVc/sMMT+0HzAF22/MQT7lqn2mxvod4xoLZ2Do2Ak2nmY0HaN0c
dqO1BE9xnmlVEPKbrurGiU0GTNbU87ZANN0U6UhkXp2Mvj6Ldjd4SrL7N4GfchN6uYjkJ/0e+Plq
yxZ/BX7qRO6Ffd8moZ0j9mnRkl+3Zo9lqJi8rVKv8+57/mctymW7Lmq2i5RSC0vFLc6+J4EitWXk
5g1T8C/iQH8mzCeVXYoodJkH+trM/md5oEVuIUj21umevAv9EvtysSk7mgtXB5QOSi3OfoFpPYW9
vrpvL+J8Xj3h73E+XRlP74QY3EMWLXRKztrfW5CHg7/N9qm6xfBB+AoS5V8E/KzW8CFV1j501joJ
rMETuxHm7VmqIK2I3Ojm/2Paz4+H2cu0H/nzZ280Pfu/Svsxp9hm5Lbod303p4Rp6e7WUMeSdnV4
dKrU2/7zev7x+ONjfU8feY0//Sx9ZG7V6mjl0fXTlf7Ls3jGs5BhIvCAnz2CHxJIwq740j7knx+6
5zOFv37xzw5KymVJEvHIuvJM8EG2ne8dlAa3AdQQJiRch2cdFFxki38mHcSU8cfs0d8bKPUNzGXs
VfgPZhiaJ3kcv9NCyX3t+/qV8LvmQLWA0cEuQlbKK1SY1Ns6Zf/SggRizzkmh9nWSQnv89ZZDZUk
WX7xor5cP39cz/ZANz3d0fiCL9dPDJsoyyA/BzqpecclLfMwj1YjfPYsftK0vSrR5GUIaPGIcCKY
C6a386rmbDK1j6qIr1VXwr0iwNO6dvP0fCU5DnqqRfgRZkjnRQdeiGTxPWwRUt5MQiF7ghUPv/gw
P37nFx/mydzk2Z4RLVllpinuSuRbTmd57eYXbT6+VTy7hcMmY0WFcL6gITUusZ2Y/RKTh8BIITXP
EzxwkQzQWKpG+y3A5Yd79BrpIeldXQHctGCata+OiWKt6mD/cgxjjgJlYoqRy2XNUn7LMPr7ZuUl
kP3twjozF95epr3aD1nppQJIbSpqUIAeB6TDdj50WnTNiTVcIUjMz7Sa/8+KXDdQG6WHIr/qm//g
oQBQsIzIpWLc9+rFTyuGXPpqq4HutSKkL0J+rYBDRk4RhUluq0TnMRDve7UMrFx4b8daGS9WzZq/
LHbh3KQQKshGNYsP//zBflyQHOiMZ6RSgaGF8eqAqdSoaxbmc0GUoRRq1rjcruQsQLwYlLMqR2X5
z9d72R8/PQyWvo41NY8CwtWrznFyK2yOatSTujd5IXJzNST3b6VCm51bK1nJK8QoG4lkkkfn/3xp
RqE/7D5Sq2+hrZCpWUw1X+4Gs7WiurO8JagGpd0Z9ZQc86os4M72C7zSbjnVxtif7GLA0tu2S/N8
NYrG3g5GpkJcjbQEDo2RNpGfFT0uREk3FFUQxS1aBm9KKcXnrnecA/Cs6fguNOJ4M7fdsm6Syuyu
Ks0rlxBKTn3qYnVYdsrSQVOe54LEccdOwc4Vrakv3MxJP/ZOUg/INFfkvwSJDZ9QLpBJSpBU/9Co
aoNdAI5fwKVxqWXB3OnWtTMJDctxW3PEdm0RekN2hVmSR7kTMkdoF8gVfeluRGKO9nZpxHhhu0Ak
B4PLFJtxqC1FknbiG+BaMsBtFdmy5SUyS8hUCpWU2t+JDhZlexTYrVz9T8YHI2bXTWSsxqHFOiEh
udv9+yBhLJ0YapjC2iFdnvKr55HCSguWFLbTgnLgW7Bwm+tnSlEW9S/ChdXYaJWAsGGGQwgUfjdh
OF7VOnR6Y2r82u08M0S0Tmo5QeEE07Z9b3q+KUcuSaLJ6QvJqPABrd1iIh9In6Y0nRzYFHJ044yG
dt3KcU75NNkp5ZBHGyrmPY256Kc+Hcz74WkeJMbYfbfIIVH7NC+avWYcfCWaCN8186K9RaPmXjtj
LEnvZuvdDZn77mmB/rfWe1br/cEe+UdblEPx+PA4tA/PS73vv/dnree8geEBWk5kNrOTJ0j8mfCM
NhvECFsUlL7P2CNQASyXQwiKAxQI41mpp77RdN3TiJvjjxoo2ujwfgMrt5/O85elnjxQ6BhBVKCS
eK9OvGl1PA9C6ggbD7Wr4XZDuA46CiBv9gJFSR5mTV38IUYf2nbrhTuR423MTnpoIgutgQOHzawh
npsMau6ydbECM+q6szWLWNukmjMH7t6Zk73LnMna2Sky93xUtdAqknYXTYuL2cB8Yyz8gMj5Wt8i
+FHQUE8NjKqBf1kZL82+TGGP1tYR9MUJ2jg/WwF8JlHfK62jhuXqopFZ+yIoxFhvnF79KiqXkZzD
h22T6qIXkYUL1fpZeGqF8klNjt4aLefrkNgHafV1abjNsVD7Zu+NCGd6C7eJaMDdZc3dk9BTuk5j
VrZpDT+2MWIQUcu4jDR1DpR2eLt6zL6zzj1gEndZzIhOUnM86aYD1xHOzraTFbNm2tNFm2YXs4W3
baHyPYwGF4AGZZ6pY1mXZmeVzcCZUfW6gzB7W5rW47IUH6Y2f0+k+ic7Ee8mlG73Cone0OZRu+L5
APtyte+mLEPcMjqYPxR9eTQLp9t7RHXDmUOQMQ5VsTMIwPbrkRDa2HRGeLnezp4adKy0ASGGcNeQ
fI+155zHYt7TmlwYZYqpoYuAIS1Lf3DaT5k2M+RfTHQuzhAkSYtEOkdL7XWY4Uzj16GsYh8LyJyX
wIsC0SQrp9uUc7wml3jBkCmvu2+XoW2PnYco2tab9OhwavsplL6TbmMPUIzwdfM+rrZFLXgPI2VX
ZPFtlWYWw/ZuCxcKVbaq7ac5F5vUs9nyorDL4Wxq2OQZYt5B5FVxltDAM4X5SAgu/jnTMm5x7zlF
WoRn3aT7S5ZcpK59MkvwGNWNDGwwpp3QQUMQ6aHRSQPP5r3rWv5gDYfQaOpmYy/phyoROYLiXT/n
X/Jc29l5YvPAxouuKsLFdma8A9xDY+kXRbseMiu9SBL1pm/wGlOU6Lwd8fdLF+Mmt6MLuxFXqmMf
dLPcuQORpEZmotmuT0lvL75hdhMRxcndCmV4RY8XLpOCzrqbDrqV4Rg4FvvOyu66xHw/9tWZCeXE
H8spNL32A4yHnSXjuk308SKuzomHv1OteIe0KQ5a/VNmTyVCjqreVFr7GTpx6ZNJTMh8Pkw+vnrb
JYIVso4G8j7zSskyVPpGedem1iW3/svoHj0HIBkUriKzfuPpOyTwzcZp1KDJtQ/tah8aW/Et1Ga5
gN7Y6hs3n8LRQpyZxeJu9uzzqvPucKHY6LG64y0L3DTntXHcfT53Rjgx/MITGph2VZCtD7gULN6I
ZKybdxGGF1KJhev/kDh7HUewizQX8OUnbkKe2hdTDwcA6vRRV4S3Mb3uxgaDKoWKqrxuyttMpC1k
kIJWYiA3Po949ERGZX7a9ta29/A5NCDtA8O6b03kKoHiWjl6MaW4sKFQBEOHr4xZOrw5qnMx2XV+
a0+32uTd5It3aJP5KkmNu7Zvx4uoh/yPEUkKrRp4Mx8wBsCfBmSz8naVW/BmdE3YeexjeerczrV6
sbqFVAhkj2NRDmEi4i10pha78Ni7b+t4gBUAmD9PpAMPDMyCcpny285IdMwZu0M2NNEuEQ5S28za
jrl6arUEK6ql88Ks6roDIyAioRU1dOvBO9WaUMLYwDmzSqRxQ2St73K7NXZuPavbYpk/Q5lOAoLW
i8COyusErlC4dDbqP6/K8GgaDjl77EZzqH6GHonW2vPIPS1HbYs5Sljop2UeIWkY8YbdGnd5vS32
mjEUIbsodTneqxeiVoej09b0dZ3DG7U2SRzgBxJtqsLCylJLd5HVlffuOrxPo+Sdp0KTa/w0w9AH
8rEa72KDlMLqlBU7Zz7V/Dziy+ll+mWG+9SKJcWvRMONcvab3v0cMQbgtuFilOzMovyczDamf0K5
dQzlduQkYe56UzbeRsPfdM76+JTY9kkVvBy96S/uYSmNoE/ysJr0h960ztJRQzPYhCirT2MF9QMm
BuBwkCAvtMWFBu9eP3NHN8xH8+AIqOkeA44SGtoAU8ZWSj3o3s/NleWtt2LSw9rEVEqzE2WD6mNX
D9EBjjtsIb/JTiacxNjZOd57Ow49JMHrcbaHMFPeF+ZNHEPmS66KWEdIMgvIk9Ztrnp7K3lw0/i9
nY5v7WLZKlZa+2rZ3o0lol2ykdLJT8qvVn2vpphk5SQjtAaKQEMMG4ifOy8+GNpy7qjKh84lVTlT
+miTuOUd+oRDPjp6kM14VAweJjhD+9i4GIXg2GjiKmS2H/uyE0e3QDDjrvXJwnN0E7tKjzoGpn2x
UmF4kbrPMxNiXmcObOXjHiXgV6Xq3jsK0r0UWYUBgWpRqbrhvSn0Dct08gwj9sd4OM/ziKz6ZD23
24Vc0qg1NhMRq6G3pqduKSr5bD9FOKZuNF2tN2X+1XS4ar/0H3TR3ldUI2FaVv1Gycx9ZZrVmVgm
9M7DikukgznF0mJEifRgEy35vjXpBCd8QE5tbx5L4X1a5/m+t+3bAT1hUlfn1trulZRyYMpbFy1F
t2wpx5swQ5ruE1kErwxBPC4f1lYTjkDoOqr+HC2FP4n1bpoGPLFmLb2cxj5EuyQ2Eat9YxuJFvT4
xm5G2qGA/vdgTNNt59mI7rDH7IR2g3HMNU6b4yY3JuK1SzeGpNVcJe7aHszYnI5JLz6uZffB9Mb3
uenh+qZNH50VwTFcojOVHsqq853jNpJT7OY47FBdofC7qmPji5nGl8lqX43l8khIIBO5iaOxGcvt
olrHpV9dJNkRXiLRhTkkOxImQnWNQwi1HI2V9Vg1OMbWqu4LG31TbDAzBIdwtsOcX5sY9FSNW24y
Kzk1FKCbdUBVnRKJiwdLFmqDSDcAieyIyPF17H7g393aJQ81sohib+j197lQPpjN5EBKmik61RTZ
JR+gcFuN24dADEcD6su6Jeurzt1jrUUla4OjdS7gGEWeeKuX4tEZu0+D1jykyhRhAKZt9cR29soM
c7Rzlv6sjHBq0Eqt8B1nCRN3OvEGHNhE6iBtho+x1jjHzlA638gxjjX1dgE/WJpgdi31q7YkfjGv
50uhPuLkh9BswPjLlsYKwn5nxKxIve7GzWTjCAPWcFVUxQNWa/e8+Nu+djnBkYwbsZuFbT8fMOdp
D1ncj7shU8fzKfUqVF/QwuZ4S1n5DaT5bw/4rAeE2wSU/o94/1X6KUnLT8mLHvCv33vWAkqTS9vF
7pL5Ko3e9w4QrpQc0Tz5jjzvAA3J6KfJA3wzgERlUPSfbCn1jUNWLowJ6AYw1B3+8u+0gMgYfoK3
0biaYP1IGfD1fom39VmK5YMlfSqyiFF/bd4iVCn90Wrvygo3DByJO4A2zAbnpUXjZ7DdLV0XX+by
R26L6CuPoWpHNjvjWqDW0diU6CWLZBfX/a3CBSisUgfKqmi3SadTNU5O+rZadDanASZAiVjuQJwC
PZubXnbj8HktmalqdY+zQ+UgORcLbs/ILbyzadbjvVY0Q2gkJXIvZx62Y+kiA1eZGyg4hWEYgH1f
LB6AzJXQ7pTyVAyAZp5RWVhDVG3YKG26s+v+nealXjB4o4N8UrtV2vgDyqXVLxX+cpEYeIR57cbW
5K8IvBWqCPhVuBhQLIiyXRt8snFT9EXloO3Suf24iFkPIwHRwVV0saUCyzcj5UNoTUmEuwTmIEZH
hlA5rRoejTbdKtPrDdv8yNY4kPXdGyc2qws9T650XL4uJtq27VrYKMZVDquaIJFNaQzNVo3Lhk8t
Wl8oNtaWRvK2UDrv0LUZEj5d2n44y4JrVNb7lpk8pAv2KLkBpZVvkW5Wo3Q2+jxwiDbVpahn79wu
sk9jP5qUW8Ol2WWX8TS3/tjFVdDorRGqvUeZ0DlVINQZwsSsXc/o6THUm5Mg5UFujMk6xJ11qeXx
hZhKnD8cXHrxhrmwFwUV1+JyyuiYYJsLdWtGnZ/Nxd5SJPSgTPcVBBLalSXy27rGJ5I+S6RO6ptN
dd3Xpsp5L0VZWtneQhjg4GcD7zG9gBOhf8Aw8kscYXPNnCkDN52UQEmR/60qXYzqiI/6EH3xopW8
5pIdOoqiu8le1KAvUMsbanFMBJq2IQbwjdBXdnTbyyIr1xYzqMgpA/TNpwiQYGPoY4ekTL/zJEKR
SKyik6iFWWSYnj9BGUo33gwoCANb4hyFRDyWfMLaUqIgccmhBCyCvIPCn2nIAS+/7szAcSSwJI7C
4Whv3KnUd61EWdppTQ+eRF46IJhRYjE57tp+Oygfu6bzAlUiNo5XsCT0sgiwwj6vtWSLduh+lgfB
KI8Ew8rHHQOG9tBxXpjy4OjkEZLUHuGF0VbjbCnlGZN5V7M8dAx5/JjyICo4kShqjE0yY0aWO/1h
5dQazPlc5RTrlVr9amh9E1R5xRGHLJCnwrFHSptztO3poxbVGLnCep/mKHA5K/WnQ9MUVdjLgzRe
OFINebjWnLJL1kX+yLnryvNXTR51L31L+Qb5Vx7RWmKUewx2nKMnD/BSHuWOPNRLebxbHZwn24wv
J3n0m3Pr+LXqfljoWvBdwbsLy0VaFGoGComz9KmIoJrQZVlBaxlmstAYu5WSI/V4OhmWCLlVbizq
kmLMrgmPd7aTRyOZy+LFUWGilNQzOXVNJgsclRehpeKZyninxt7FTCWUziMtSmweW2oktyKbFPPY
FrXP8tiv5pVFPYW74BdU2ldrXxWBkCVXWTA3oKncuat65lKVyQmgb4rhYyELtmrq36tUcCmVnCVL
ulQWd0ZUXWWy3LP0VgRCloDrWF/31IRVLj16MvNr1gy3DlVjRgAR+JCsvmRJqcjispFl5ky9mUQN
hadC2zpTi+bmUPhVitdmjYtJuJjmthkXpFF1nwWsftePCr0J8w4z5KpmeBFnlL191WCaUp0PyKYH
6mKV+riiTu44QKppnU5U+QxTqKXxhcTNT5bXKXX2IgvuXJbetSzC18naZ7Isn0zTDQ0q9TmZPliy
dM+0r7os5RVZ1FtU965RVxgVpqdZFv4V3j8bRzYDcT2f41vab2l+iUmnYUi6mg8gm4hVthNZa1/X
ssGw6TQiOo7Z1r6adCCGbEUK2ZREdCelbFM02bBU4CsB3r3ZRkTlSUAvwxo2E0dDtjpLnJl+K9uf
0qkeh7E8CNkYWbGuB9pkHFJ6Joiw0aarE7RW9FMmfVUUH0ozsW9Ei/XGqrgfGk3dWm2+bIqiPJaW
iYWluDS+qUMv8Cz6GCfKroon3PXUPvAq8ZA1/T7ChMDqZhr4e6t/KNqITXIeObKlQ6C9HbPm3WC5
BNKUPedqHFZpfcoyjrolJMyIr6F0Yd46195kf1QWRFxr6ey8erlzFYxk0npeA1towJJ9tTXWkpK6
Gx/FgIwX2vUmluPzYR0F8t6a8mn1C0f7InqH/IPWAgaQJtZWp1ZnFc87wCR0PrqL8XUtpL1Nph+K
KFE3aZ+di6JtEVkP+R3OwKABrtecJgI9Whhg2B09Kub6mDau67vR3Gx6qIYYamqIWLygSKaPZaQ/
rol7ijEaAkgPXLGewSg89lAMMA6WZlxTzyjQ3rOhPtjqAqStXrlpc2ckyaERBPV0dbofvG5L7tW+
H+cumBH0Hu21fjBt+7JTujiohH1mizX2O6MqDwyrL5pYP1ZYDSipQaRHdF4r6tXgYfg6RrgWqwp2
OxNm4Uq4rBEsxOSIafN+ieYrcOtjFdlfUHvsBuXYVJ8RQI4Ntva1Lg7pMoSqYtBqJNd6F13id4pI
hHCLMqeNXPGrat8uXfE2FZoN0Sq7XNxyr5bDVQqFo1NU+o9p13nGvSKTTFpxHSUTQFSXAX62cCLz
Gz7wodDWB72PLkXavbfgsbbC+ggv8rqPl8/g1ozfI/WSIIru2E8V7vxuDPxk/l/2zqWpbSYLw/9l
9qJ0b2kxs7Bs2cZAMENIYKOChOiu1v326+dRIDMJudSXyYapGmeV4Bir1eo+fc77PsfkQ1xxxprx
HsbnLe2Oat8EmlV00ArgZoyrILSPYhoesE6FqyIowLhK46N0bTpQCEz7plbfzC6RUIISfoXhEt+j
mQBWcMZNPLYfyrFseJKNY9QEpOXy4j5OugZirnsayoBmFnb/FlH5FZvDu1GL7lERXhO7vVFr+1jE
8pS2Zwc9mmGZhdreVZwLBV1nXBobN2WVdeao8OwiO8pyvkUuZ696wz7GU7Nx+vy8VmGAtjbcCOZI
qHWeLdpdM6CLzvKQvFBDIJweJSk+v1Iwuel1D2Z7OHUg5PlFZWzNBReb6fcI2g6JEfxTOqQXRgW6
mtmcj00QbJKs4Pbn09qosLMFQg5eV1ARtQJcNpZRGiurNCd/DJODORVrF8OtcM7A4HtFDAir7bwq
2NcdD3qj+tqUU66253M2r03bwRzqxn0pAj/LW4xwk9/Ega9E2NHkUG+bBI+6Qwp+zLR5xb0nGT9q
925cFudAf9ZledaPzMHEHC8C2urs+rKgqU7j3GZNv40Ekznv7DcBjbxOI6O8s/pJ84B74xOKtW5r
Oeh4qFZfOh352UC0MPMEIWs8HIUoT5N+ijl5j/XOkMq1lWjvYxumVhA0OUCjclgFudV7QqbH0ujo
EGipl73ID7AbtNWUsICnersjcmhWpUpLES246iijJw62PulgN9XZlYJRRiDeLTpFpOOyxo3X1Tz4
VEvu2tQmQpZFtFfITAskh1eVmt4VONW2Y6Fc0MAo8WkkknqpA6tA45zQWKBP7cm8FW58uWz2rBwk
SbrsyEHK9TuTWlCgjxcWQUzaKOOpYqcH7IDguro23yjSK5ZaRTROD4OrHpAEPiTZ8EFNqoesgY0W
sqMAotkDIb2D/ESGU964jQY71TBpfZJcFrXbr0oJL6+APbIqodty9FJDz9XhN6u1Ee5VYUGLCt/S
FGmegGT3JH4PebmbBBzjuEYfMYblkZpPsJ2r5lY0ndioAOmAR1h7Ko/xfkgTx6vN4Y2K4APwP6nB
pRdxCWrd7u9GYwavG5QfoegWAA7KdK0X06dqmg8ty+AmsYqHoM/hZgThLYjFygjUi6hXDTyk7WlV
5tUxSamGp7o1no5x/Bjl2QGwYY3TAJnErEQQpt3pIhVudmq5iY4LUzqUf6Clt67eeAki+mCcrsZJ
t2/ElLOZdRBcRjfel0lzWzn6tEavcikLHSha/GZs1BoNvCFW4RJgstIcwPc1vmLgXKYj0xFMvbWu
GyPz3WIA4pd3Btve4B5FimrELDkkrBQVpIM6OtOqtOhqM00y3teaHFgster/Rfb2ezsaPrKl4Pxz
O9p1V4SU2KPuZYbl6T9+ybA4J9oidnZcYdrqUy39S4rFOeHvqArBRT3/5AvcVT3BGQIMiJcliBIx
p/0nyaJBvFqgI9TgbaylSAZ/J8dCyuabHIttWCqyRmxpzqJqotT7Qnqo5hTVgy4CoOBELqdIQ/Ex
MzyqCYVFF+GSF7OfroEj1mQwWuHpYkyg9KfkHeSYoU6UYpu4o+OZKns9T7q6EePAoaKd8Ozr1bAB
UKJugQW+s2ITF0XQv5WxBd9EmfXAq+q68WZ93mPSQ7CSuBsKj+RTEtZjabXtRZjJYGP37riaY9RI
ap4Jb5K6tc1BihLJjXAQNcVF2xZ1+CoEme/JjCk6CXVNf4yevkqBvlZDEENzWQ2+cDmLFTkcobZm
LWpHPVp1o/KpGCjWBG7PM9V2vZ+EOhWoqs/pNxF+qjM39KMZg2e7LLKhMbScRgNtR2MC7SKu5P0w
CsJRghsKQvG6DpKzUNIkiMakNl3bzOCsshfk/+z0ezSsExU1nLSRkxorp7U+5dOAoMoUF02pN+sE
xIHXAGPyEliUh0g2j3NT67tEd7NzaPv3RdIhzc4byDu0IDvkTu9rBvlXod9ZeTJus1QaEfXEkN9d
Cgo1KGNBxtJpDYtMj8zALHfOqNzW4/xR4QDiSZns8lDQkYLzsK9p5r3AVoMRh3RSGDgbC9yTw7KC
9DOKV5R7HrJJPk4d9xNNCDCFmFBDJm9UCyd8bEexH/XFmxCB2Vab++K00OkPUEFpGjIVo45MztVh
eC+zpvWSkhMrBX12rO5CVrn9NuoMjjNJ7a7KSHlba+gcup4roT8L0FXtPTDimr2NIMRww44yl8Ii
O/TQyRUVfI6LQE27oSnopaLbW4jhZ7ltvSMRdVclyWVod3diMG+sMA13dlxwUEaFAqPfGa7KSqc4
Y8fGu2YslU2VsDtbqXujEV/iBunegR+2/HlG0WXB8FxzJCXWb2bKHzaBnT1cqTLK/T7Ne0zvNATo
2eChlkUkBKaQ6LIxx4Mhl659BFLgZd27VI3u7aLgs6SxG7JRrHKjiz1FG5pVN+T2pozBdqmz7ZUQ
oS4dxQJ6pJP7sowKZEWWPtRV2W7pEdDQWnC4l7Oj+rQBvx5a61pGIEGrdi43NIY7MwWKPmJwJIgm
EGBdpRlCKC1xrsxu4WfmdN0tbNs5qymXI4bI9OXJBGS2VmgqX7bakc5k17FurOWQ7cIgoIFOpb4L
YvcQ6EZ5kViT73JwoTVcP4SbbFAJrhd6q+2MN7MAs5YP+EarvADIGVCei8G+KiAZPAsQrJLG8Dia
fKBoWuSXIqVSay/kWLkwZOsGmqypZNv2M2B2bGDNGgt1Vhi5fdYsJFpWDUL3hU5rz6m1KxdiLW5b
OpO0ovfnpN+ifaALkkmHGKeEmGWlQj1v46Hy04WE6y5MXKONrU2/cHLNMMj5//G20acOeGaUUW0L
ycQBV1Vc9SrUxUMItQGYM8cJKqbz+27h8iophBZMZGTmFmovPQPMVWfrd2E83ZQL2VcF8essrN80
6t8aSbPPFwpwtOCAwQLPjSmfPC//kxWR5y+92BM2wM3a6dg91tPVY9MBUP2iFlt+eglyrb2W/92b
fv1Bz4WU66l8/PvfPsiuaJdvAFCr+FovZyN0/mb3//yNPn/dX31ABui57T7yyYp2gtNc2LZAEo0K
OPzy7zArYU/arsvO/vnFjsxv+mpofnbxv76up1H89Xu++er3H5FHrePmB+EP+deFPfNXBuDFp3w1
ABjrYWGi/eZan17fDQRcGAwdFI0+v5Bbv66BeBJNfgcw/clU+PlIQOQXZABxrDxdqMqVfjMliAWd
BdS1lOBe1xBgRjGJN/90LmgnNNFb/gA3+uFccKgdUjfU1ecf89C8uoH4AaLit6eCcWLhWyDgp3z7
zRRwTyBTGLr6ZYRe40zQzYXy9Gerwoupv7iLXt2N/oGb7ndvNLVww+SE5iCUfnqxoby44aikYas9
HfQow7+2gfiPZPyP7viCHOSs+u8nG7rZi5FwTgwLsTnet6eRetp5XtGG+DwSHI3/aCQUJsUC70Nf
/bwPLKfxryeFg1/ShmQI+O7pHa9wFfiR9uR3nw5GQqWQ47jPl7lc7IuhEMwKHXIkWpJXOiuQ0/wg
S/TbQ6Gd6GIxVVjfDwCwA9PGovG8gvz1BeIvPDuE28u7PmSP9/U//gUAAP//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>
            <a:solidFill>
              <a:schemeClr val="bg1"/>
            </a:solidFill>
          </a:endParaRPr>
        </a:p>
      </cx:txPr>
    </cx:legend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_xlchart.v5.23</cx:f>
        <cx:nf>_xlchart.v5.22</cx:nf>
      </cx:numDim>
    </cx:data>
  </cx:chartData>
  <cx:chart>
    <cx:title pos="t" align="ctr" overlay="0"/>
    <cx:plotArea>
      <cx:plotAreaRegion>
        <cx:series layoutId="regionMap" uniqueId="{7E89CC7F-41F0-405F-997B-1599367E3D50}">
          <cx:dataId val="0"/>
          <cx:layoutPr>
            <cx:geography cultureLanguage="es-ES" cultureRegion="EC" attribution="Con tecnología de Bing">
              <cx:geoCache provider="{E9337A44-BEBE-4D9F-B70C-5C5E7DAFC167}">
                <cx:binary>7HvpbtxI1uWrFPx76Ip9aXQ10FxylVJKS970h5AlOyK479s7zY95hu/F5qa8lCy77GqgGpgCBjBk
MZlBBnnvPfecE6F/3k3/uMve3za/THlWtP+4m357Zruu+sevv7Z39n1+2z7P3V1TtuWH7vldmf9a
fvjg7t7/et/cjq4wvxKE2a939rbp3k/P/vVPuJp5X56Vd7edK4tj/76ZX7xv+6xrf3Duu6d+ub3P
XRG6tmvcXYd/e7bub+fb9tkv74vOdfP1XL3/7dlX33n2y69Pr/TNXX/JYGJdfw9jPfIcSaQE05gr
JqVU9NkvWVmYz+elfq7gC5RRjrjimqrPNz/c5nCBn0/oYTq39/fN+7aF53n4//dxX00ePn7572e/
3JV90Z3emYHX99uz6K6/vS+bZ7+4tgw+ngrK0+Sj4OFpf/36ff/rn08+gOd/8smjkDx9WT879U1E
ouyXi6b8/FL+gojQ5xxpzjCiTGjFlPhORCiBYHHNCWaKsc83/xiRn0/o+xH5PO5JRKKzi79ZRP69
QJF8fid/SUCgvDHGWnOhJSKYf1MimDMiqVZCYcGQ+HzzjwH56Xy+H49Pw56E4983L/9m4bh0d9YV
gI6f38pfEBL0HCOOTiHR4gG/MMDSV7ClngNWQTgo5YxpgvXnu3+MyZ+a1Pfj8mjok9hcBpu/WWyC
2+IWgPUv7CacQIUoaBgKYSL001JRz7VkSmuiIXYEqyfdJLj9n//z4wl9Pyafxz0JSPDvw98sINBO
m9vi/qe18l9saIF1+buyuV3+yqaGn2uGhWJaYIqVBhz9pl4lEQJzjbgUWD6t1z83qT9IjkcP9DRB
Ntu/WYJEbf6+uc3uf04C/4spss3f3b7rm59m6dfE7Ec8FD1niGNBtEZIU0Ix+SY/qARaJBhBCljR
Uxr6Z2b0/ez4feST3Nie+3+z3DgHNH/n/kI4R88lx+zEeh6aKdTtEzxX0IipIBQxoSSc+9hIPrbY
h9n8z//+/OH3uv73I/Jl4JOAnP/t0Py6LwyUie3/wkrx8HOiGRUUgsIJ04g81QdAfZAE4sOgCSvx
DZT+uUl9PzSPxz6JzvXL/9d77R/Jysfs56vv/KdaGj9nTElAKEoAzE6q+jsgJkBNnwDsabl8Ubl/
PJ3vx+TLwK/m/l+XzX/cXr7gfHjb3UYPRsUjVf3jsw+PCObJk6E/Yqgf39f2/rdnGgkOIuxR2E6X
+QqUHifwdwa+v207MEWkAn2hMIJIge4DsY2f/TK+/3wKqCuSoD4IAelB4VRRNp2FYei5poyDJoE+
hSnSCkMCtGX/cBJDVWLETicZIVC/9ItTdFlmsymLL2/m0/EvRZ9flq7o2t+eYQkCpvr4vdOjCrBj
qJBccDAIAKSBVMP5u9sXYEedvv6/8phWOkF0CRdaZGdzSdjZkidFUBPCQscWvhn4ZP2uLaaXSLJ7
2zpz0ZjW+oKLc69r7izL9E5gjxxlgsiRObbmZBz93qunUFha7lVhOj+pMfW9Yo5X/VTGBzW2XlSn
5Fo7zxyFVEEu2PQ2qTsaiVqcxWnLg75fhiPp6vHIR6eizM4f2NTJQ6qX/jizVAfaDOPq4bBAsQnL
PMvDSVm+ywivt9xVkdfm9JVX7spGL6+tw3xXTdjnmUdfa8I3nkPVlbVyPLapPXZxqzYVWrCvclLF
EdfK8+NM4lXHt0mh4xdzz2xkzTJFjejf56OOXxa26COhnDqjwzDsqzFuVmNj3bWcqpCoUfouc83O
eOP8avC08xND4nPUxXY3zHbytZhMkPCsPtDGKy/r2jS+y1N0MVdF7is+zlE/0mYFb1Ze53PWbxCa
vWAk+B3PWbb1FN/Ny4LPl0webGGyC8eSJTRpOoTzjNOLh88efst8jdLWb1DmjkqkYp8U3hIWlRq3
TdK4IKVlsU/UkPi0GdxVM0xx4OlFrOuCXpZzPR961Xo743juN3U+XWK7SJ/iCa3Z4nxd33aLdzCa
xEEp3qjWNG+yKstCi4d6NxdURWmqZVjbLDtYkcVhlaAeXo/CUWtqtmXtmLwkzB0wTspbMyQiMJUy
wTjpbqtjtPiDIvhWmfpdxfoPTno6nIkgQYy7Ouhmm+8ntOT7nKGj7HTYyKXeu5Fnr1iR5pCyY33e
T0v+CufuZdH2hyqJD2PHknXbWP6yrNMsylPprfIyFG0MEamaeDfP4xrb0duTjnv7h9+aRZcRr9Hk
s9NnDyfGrFL7crP0IO/BXf2EfF9V7V1ZzY0z9pPF++XwX+effeOHYb9/fjKJfz+6LnP498Ov/OGF
TtP5ciXAkE/TO0HfVwffIPEfYO1Hq/oPTv5ZIJag8oDCf/GivwHiz27jYxD+NOgzCGvQBI9wlgC/
/ATCQDspAm6DwK8Gr4FrwNnPIExPhjagsGIE7B8FBurvGEyfA3YDBEOTxhj+R+Q/wWCJnkAwA54F
NgdY43AbyTQQsccQrHpdw7/KC9u2WFWWb7rE5IHV8qa4kgO7bqk3BzMT62owe5s0iV8vUJYJixaR
vrMtObbZkvnFUl4VbTv4aeauOgDbIeYr09t39VlB7EHh/jwm4mDH9s3QLC8X3qx7Jg5epa8TmkVE
u3uT51EpxDbR+SWL6wgP6RvsdFCwJvNZLHY8KcoNHeWBehYHPTLeup/E5BfJnPlV3vi9tgE0m03l
+CpTYoV7947Q8kpP7Kh7dqyGeAfAE83mbT17bwZqhV+PQ+13/ZGzpPNBRdwspT5zg2h924esqBef
AYaDyvqSJt/rfOCmftX4nr51iP3jt05UNecdLb2wTNQ17ryt7nc6qW4Yj3eOxdeJxktQNzdSpdbH
gm4IAjRicjdmePaznLwdnCx+MqsTe/t2VhgasYaUQPpk2j+eFaTq1Mgq9cJCLpt89nnSJr7O9KFh
/XFh5dW0yK0szL7s+AsRu3XpWetvrbEfRNuH2OY3nlCFT0p+rdvxHGWZPwzxhqLyaqDtm7YaVIi8
V9Z2c2jbuYti1G7Q1K1wLnbUOhu2S9UGI62v4q7wPaIOvOvOqwT61kj6y9bhzC+b4bI2i+9Vngmn
Lr7NaX5ZD8urIk2PY7OukqlYd6m7L3pb+l5T+GYQK1GbvZitDXlZX3kyO8uq4Xyi7fmY9H7u6nWe
wGtvytpP6XKNZxEkLAcOovxU4yPuYhcwroTvCngvjPixW5CfmrjwwUtfeaMAZfHDFFHfj4YCP0kC
I6QnkvY4GoutOoeQ9cJ55wySPu+c8Gdnl0C9XAgTPksb6gOJ37UsDthitma5MWUXJA6/cAnMDOBH
+Unqo1lu+RLvJlWOa9utVcVbv+rtflyyD2k+dpEYurcZSQ7M1SjUpD4AFWI+mW0VZW0diBptLYaa
6Bs1+aXJkT+PeXU2Nwc+qjpYykT4VvBD7blyPQ/yMKUQKV2Xuxz1SWhmBpkAGTCN+JYjH2DxkAxy
W3buXZ6x9aDg2gK5TcInv+nKK2LduYk/8Imv53zx+3JlBVtPk/bnyvntnAcOcqTCZK+jtwNWFYya
SJTaOQ15EU1VcqV1ec9pPYY5nJgF76MTJC0tQn5sez9jyG1tK4OW9MdGyGsN8JQ3Sdh2QB95PGW+
1XYKpJ4u8rmqVr0NCzTWUa/jKK/gzS9NYX3alYMPNCKBNDhb5HBI2vxmyNlGjdOrZPAu53rcxc7d
x577MJXyOh70ymlz1RsvGlD7JnPFFUHlG+BCOyv7F7XZDHFx1dr6qu7zNigHvpnyqJ+Sm5YFnRra
S7fI0A1rTIKKe++kyObIjnZf5uYSJ7W/tA6YFV25eghi0/uyzs+KqqN+m4jrBQFtIluDhlflwg8W
MmNEfUBkt/ZEdjnNbD0X7eQLNYXcvS6ala5Wqn2NXL0tLFsb+SKZr8e46ladp7ZTr+7mxZt8JQEk
KcK1X7W5HzfQJxDfmiLBYe34saXyWtblWeHZD+2I39PhmgnOA2ug3Ilb2QxPvi2GK4p9qqo3P6ml
E3A91hkPcKvA4AEZBPYcB+P2cSnVuJlqZ6HJFRXUMe6BeffS8znXl5TbYx93YSrzyzjug6rF+9l0
+0LMAYrx8ccz+S7uP5rIE8EDZd7RRQHuI1ZeyrwPRV5e5rHZkyqLfnyr06W+eWYQeRIToBKIn7TX
I201CUljkxVeuChoyzHzdk0LEJh7hW8zthlIGlU43v34poyfUOnr22LGAFgw5RIWSPgJ1R7ddmh7
Y5tkMRHxshp69/tYJ3rFEVv1ntiQWe1IgQ4pImlIvCrxh0Kdx/HlMM3c97Kq3VuG4iCNLQ0QiLLA
xtmy8ognfT0NatW7ZQmYQbfWdFMk72rKVz2I1tCNzUqWVIVeP5/xEp8rMzFIyzkJvDpe96hAGyIB
3tuKX0y5Jhs5mXdy7hZfLFL7Ix5XPAPQm1UnfZvg876uLzAFNbZkGQsEboJJxePRDWkbTJMFIlRi
AVjkp6k8xyatAzmMS2DGxbcoW3b5mL72SA+dpU7f4ngp/Vmz1NfMjn5CU9AliZoDlUK7lP15AawL
97TZZKTfpDR523aJ9kUxlmE1CrNukyXq7dQENM2ZLxKch9lYDFEyTWilepu93KTEDlFRTWzTVpK9
AvblQwK8aUbXbKt08g522AypFrtxMF1I62F+RfW4M8K0x6ps22OTKb5i4MYFiyhuZJ8vASJDsapF
Fb+1ZlgDkcQvlUfSPSL5mYnpPWM+Rmlx6ZCaLicvf9EynISDNuV1OakLvVCzTU1VrUdvfm+wTV/z
aS7DBVThpfKKo2cwoAm7b6HTvsuy/jwFohaZWNiVmuI5jJeeAEdr6rNu7kA55yj3J4/FB4qXKurc
RAPPmXdzmyeRUXUTOiLkhUwLue8rueFMNHvTu5ANqveZGM4gju2malgbLsjLw9rYc8DEbduMr8Vo
Zajz7CUy9ZUY4npbjvu2BJqqGw2QqF0XzD1yoOQA7OsJB53s4PJkGKIZpd6GCcK2qOp5QL1ieEWr
KV87ky7Rw6GtWhfFs5PrUdr5vG4Kve4KnkEwebKhNEsuUDMmFyqR7qJMwphPqU+TvjvrSN6+REMt
fQ/6+q4pJndB7XCXv9RLdVBF6vw+of6kEhOozNZh7vF1iqclwE0eytlr/LIutY9SGU1SjNslvy+S
mh4WdoNJvm2nePSNriRw3QSume7qqU6DpKvRijb5odP1C0PUhUPdHg8lBC4LLPe436F4k3FzndIx
mPJ52yaI+7xIqxUviJ+A5dDVeYSrug3bKg76eiiDZVF5pMk6Z2bfCz0H3QkGuqY7q/Wygs697bzR
b3NxPbtsP5HqvDPLq1Pvzsfah3rdGhfvOLxAg6IEo2Pf1C85FEFpmd/I9ujK6qrl5Cg8fZ3RY4b4
Mavbc43sYTZ97Ndce367mHuv4jvUyqO2+Vm5iBWp0K4vxvvTnD0znucFv1YJ8JhZbfoEXCt6KRq+
Np7eqTF7J2QMKaXKgLNcrIrW+TQWWzlSn6RD6+exJyLX2HdcjufCzVdxio1fTnA9ZgGRkeUBH3Th
N2x5t+giNMBwpCcOi07A36rJHVd75IBYpTmwIyP43exV92Tk29mNl/HbRdNN4ti2KocQFQ2JeFoP
fjYAAV+AhvvJkkepGU/mw83p2nUxvppEc9PfT2h+RYCtOcKvwYu7B5puIRP3lSF+PpZviqlOfMfh
MYuiAsZVbuc+O6tiyDHgh69omb9rh+rNEO8J8d7OUP6iBm56ov0nGlO8JpA41dz5edWfGzCvWteH
qciulszbARWMtG3e5EN502Oy6equDUtcfmiMu5x6SC2XI3g9ud3QYonGdLis+LChrnuLSOtt4o4V
/ljjdmOkLQDcPb+ZWOybrgpHgY7jUtwI1Xchyy4UbVCAEwOctRB3NQfi1LdcBI13ACZymGYrV+D1
VH4BDp+PEvaKl1AnJl/WBYNy68f0iuZ3fd/RrR6Xs8qo0FTyPRh/zarAuvbjujkuFtNwMuoVA28v
y+dilxoH3llxQ4iOg0LbFwq4LxXmoGNqoAwUCTD1Bp/r3Pl17x11zM+7TF6DBAvjHBm/qEigZcfC
GcXHvKcVlCYOsMqhCyVN4CkElDcpNomFX9K+folQulM63+MZq6DszCEbm2lXpXMcSFfZwGM6iWzN
mkAN421e2LAr0i5QKH/neu7X9MyT4VLjPnxgBP/fP/q0cfGrBYvP64QP7jZwvy+C71vr6PN+wN+9
I3HacvXJu+fPsQI5yTmwNwVLAmBDfbKNNGx2BEOacIolVeDqw6lPthF+Dp8oqU/ePuyqI4+Me/Yc
DCOFNQxAsKjG5H9k3MuvSR7HcBOMhFBKc1hc0OxkKj0iebFBXaW8VkeAZFdNXog9PAX/+GOKVdH4
vx//frrSotngheWgYl35KiuICFCb9i/meBmiqdTeAZTZuNbQ5PaiqvSWaFtueTOQsyQD795LennR
UmyixfTtlWnsEEAfrF5nqq58J7z5Foji5dikgCYl8DELuASm87s5K97mlk9h01TM7xKVXw6nH+DB
rxYx5NAOpje2nMUGDaQ5yNSWLCzHfh1bWe4/fdY2h2EiPfBBE5ils5+OZAoncorEvqvK6OPQPpab
OO5GH8mmPDRqtgAMMxLnTRd+PHo4YWdbHrQo5Tk4vvPpq4NSm0dpdfmReT9eZCFf6wCIFZiLsFwD
1hU95dPTNRZOGtsvdKYRykYVpnH6UjKvB0lv+1URywFALqGbkc2RzIousoOZVvD9ZGPMPJ+ZqrvO
EaN+nk5sL2I7RWneMz9Fi1tbrz2QMmeRhzH3DS4yWK7IyHridbpZqqSPyj7Vfl0Jvop1D3s0vxTM
d56Mfi2mTk922ocjBSxwccLxyVt9nIVWTBhXpcCgfrkJRZNGLYcuJipdrtWA5hD2O9pVmy8aunOV
rbJSGh/qw3s9JHItynJv8JReL7h+36rOhXWbmVWXguU3mmQGCykrNyPK9VoJQ/1RJ29GhbtrKMK1
GpU5n/uW+SCWi7VG7kwl+Y1pprCeGn5FvRx8FNCSq9bQD41Qw0+8ugf353edBYHkVGDYm6bAl6Cw
hAYw8PjhmSkGIBYeCtspEytml93U2DxobHYGDHjcgGXDI9TaGyBxbj3e6IcZl926FWm97TuZ7dgY
r5EU7Aoke7mdyCgD2/CjKvPpCvegnhIXIOyhK08fCjNUYS0HkAZN2m6nnMyB9JZmO7D5qu+d+Il6
PYHfIx0J24KFOK38EwT70tXp59fPJ9tx6VVnRDQlQC8UqLs8w/Qc7NxDUvRqDz5YVNMW/ClkdQhM
4HWzpO4wDqo7y5buJi1jvpexesErt6w9rVkY97MOPLQAPJk8gz7aU2jSAl4Ec9XrFKLWEBsubYVg
QczNoaR9fkBU3fPxXllEdrKqN72b8stcliOsnMVBMmYUnCEwVcaJysilPAthEYpHNRu6EMyaIhLC
8HaVLrUC9+GFN6PpgmUDuNXpwsYXS5IBTMFa1pI4eWbzxoCLHYOLMiTdNeQj8HywmvKuumNpXW+X
sn9ja8z3ChkQR+4iX7AO2VjVb/tkfN/BUuOPi0yerJFHeQZxkCD4BLQhShgU3JM86xbdDLKbSZTF
okTgd2EX6TJJoy5BO8rel0nJYb1yGO/EvEDG3E4goszEk7cd+KJQkHM4eBRFDypTjcgLia7TMFbc
z/viFcmK0h+aMt2DkGXAdOZzlRHsF7iB8LmKbXidNxdsqTblQmPf8hKcLdtWK8ahQXRGBXiozqep
S3dVNs0gbTwozzkXkeLOZ31cbsWUe2GW13BVrafLMjV6vZzA8KG4F9A+WUHH847Nr1U18n0GWtWX
yWHCFvSOss2KG4ODeFYHajIXqq5pgnYZhs1MyM5r+3HfSx9TVwK4I4h1k6Jd24s3hi3Nme6SYcUX
8AvieUFnsUBJIOn0ms5iCmavx1HvERNS7GWwz+9HAHmiAk9jJ2EnK+FAE/hpz+rXNTQ6k3ltyXHk
qYslLQpoenwOjc3QamCU+BMsmFyUC1KrJBdjkGVLvJdVM4StzMufAtZpTeNJJgFWwX5ZWGSCJa+n
FV2m49QuMRdRxebpMvFqt23rpr1gcz0FcVPDks4iP/Dco5eZc+nKSoLeWbBqQNM0Kax9ZyBS83rY
2qryK1iKOnYuruFr6O3iVLPndcUO2BMBWHnZniFTRWOSZdvay/a1Zi08bqL3slbYz2Gtxc/SwZxP
3Xqhqtz36tCCOeh7ZYzepY41odYShw3gTdAMAeGNvnj4QUVvA31KE1vGsc+WLosKopL1OAq91Xqs
A1aBHPH42K3HBjXbkaONqfpmZSZqzuyQ3iVKlVAjcGSmo4iZDD3PU2FPHVo7EtNVQ6FieDpdlTzt
1p0Fkzq+RDGC5obtVZaWLiq9cSvmAaOgcwaE4My3sscCdlJoUwXNzLYjbZdo9rR3ZRLKwAaWRQBL
xfJiWO6MN81hy/P8wrX0Kiase0UHKnyZQdHMKJ822ci7N0sywq4JbnxG6/hl6cxNS9HaA4G8BYNu
VapFXy01DLG6KG/KeUcrkKodm9qLpuomUDqyBGkxFJeZ1G+dcEsfagMOSjLT5gzLEVKziV+z3K0e
+lM5w1qHVelxhsMNq9NVW8NOjYRIvu3BpRqS3ltBk0XRmJPBh40Y06byqN4stFnXvIHtHXFNXxdX
hXQvVKb0buZlGpUz6beG929KY/2iKLpzYF6ZbyqINU5mz+/SglzqTk+BHV3g5XLYpItpLwT2ga6p
i5ybArgumwI2X5oY6wjbejmH9axVTxceznmTrgWkzXGcqmiZTZgs1jvkVrzOKSv2FOdFVOZgYI1d
DPqyH7p9v3SAKXGZbr16kBHgid0XBqDRSzTQMTDH4xbTTRfqvqkuhJp3E574VVHRJEhaoFuF0pFB
iRck3uyFOulIYG2KojgdrkszD4e44malYGtE2BQyKNAEVLZNjnOm0BmBTRRheSrEucyPosHNMWaE
79IHlG9R3u+apXjLTt0nSWLvDJY8Nh4zbeAaUWynrHMvoPNuRCMYuHKe3S5VTdam1TYSsAEEhGX9
3jRMboZ6GXfZy6ob6WrQNLmyBd57soAFi1XtlXX0cRZDF3HKhu3CkxqWBRxwmkTUL2DzztqoOPc9
z9KXBZmroBhVEsVVyfbhMMvqbd1OYUF6F3lDScIkhszO+hmFdlzYGU44CmoxiU+NwfWD347E81Hl
IAPiREVIZt26yHZdZDRzVyZL6lU+J1OUzLK4iEPFxuxV5VNiIdkBzKE+EgY21pjHJ0+wOcLuRWiP
uNXndZxkm6o7y2mKL7kmuV+qzPMF7Kw5j9sGWkd5YWsKRp/W9aqocYQ8wYC06CLoytxFZFj0ukpz
BJtOrNz2pRgCz+vu0tSOZx6xN6XozHlLits074qNlPXsJ+BwrZaUzOu6JtNHbJowAytwyIcgK0nQ
LBya6TikV83ifVg8OYaWJHOQAFJe24VdVELKPeKDXLsC/j4oNEZMqwd1MhT5HCYpyuCB02T94wZ1
+ru8Jy1BEViRgW3ToCEZ0U/IBfCNbCFLTqMuG4egTAV4GCo5a6eTajCQ34vjQLlYVfgzdIhLO3gx
wDEpwhY1cVS4mcDiPS1g8ZY3W9ic4K6GzssiswHHWK/jgh+RxXyzJCVbfUTLoVNb17ZtNIAPGM4a
s7CgmYkg6i8552yrsg4sd5CpwQKU/zCpPmjp4M7crJdQpSU/U1kaxS15G9vSrlVPXCDkfDmwJHul
hgKcsxNBe/gxOxSmg9wPD7MRzMKUNDoDixAIhT43ZVvtTstzrugPBUkqqDlOD7DovzG1VWHeIgKt
ueiC1oAX3CQZvJETv5niYYxX1TLbHXHGASHqhhCnnZ/xuFkXgs17W4DmUrLZpp3DIe46GCrqZZe5
1K+ZsFcxvu2wfqEXD7ZaJUv9E/LBTurr63YPDgbR/GHJTTzsun4sUMqZdRkYiTzKTtRX9RJSMOsG
/4GICK0j7spVX/XjNaaQ/mkDVhjmtF3/X8LOZDtSXdvaT8QYiErQpYjSEQ5Xaac7GunM3EigAhAg
4OnvDO+/ce5p/LfjPZyVIwhpaa05v6k91wQSO6yak0iju5XSvtZ1/dkQd5oz7MisGwR8XO+LBQs/
QcB/xCARP7Iax3Hq8bxJ+FA0ZJvPDHTgLgHaeOr7iJfDDMHO92tY+kljH60/eTk8hgbm20+JBXiO
moZUtSIlI+lr4MWwqEJgA1kAntAPxEczpPO/8hhwJgCgt3+fx3+O5wS4zn8+pyQExYO8EUgf5CCp
T/97ik2z0DmkBtAhR9mw88BiX4LmwDBcfD+pFuMrtHW7VHqK+5wTNx5n674iIpezJT9bQvlVD8ny
oMb159CLHzZokhNpUDk2M2fFdm8byLqjyuknA0rgu/0yPl9veu2PyyZNEbVqOUdzs94yGawYisQB
fMlYxHFPz4Ncg1yOcT7A9j3VfJHXepHlYMe05Ov6akKxPk6NrQQNo4tpr5tv+z34iG3Xr20xKIAG
Ko3fWAKXa0UT1/o9PxDbt1VNs34/RvB55jjSxWKxnc06+pXtPZVHmfxtl87tzKZf0TnGT7pxexar
5d/2Pd12mFy687hGX7SedkuchPtWJNe1ibZCMWZ3m7Q4CHyub3p5IOnGSw+O1IUm+YY+9wpjyRWh
dKoaLfzQmiZDHvtsO6IXrPNAKpKPXU2eQzN8jBvGm6UH6oRiWXmtHKpQK1XCJZFVLzy26znxL3Cf
S5wF+uZnxhX//3oZ/O9h7HutYCkEGPzDMAD59V8NPWLWUSqWIKiGYFtOm/aLNNbZxWWuzgevrtpQ
uVdrh2ZHYCx4gcPE1kb4PaM+s7aeCgk+9PRdsmo/vc59m0LzFQ8418l1yMI2HzPlsFE2mKWJtXD0
vX6XUBuedEBCIDqp/D/mgvR/D/p4T7Gf+NjigOEQrwrJ/ff/Q0sUZg680GtYyRYUryrxg+arlXw/
iX46rm0yHs1WCRLJn9+9edCSuYid+yJpvR2GDgLWoltTjWr7JMO43tawCY4Nn16MSXf+sI7Pwq4C
3he0cdXrW1yPu6Hmaid7LJB1yUASiTa62gCeY6jmpRCpFHBl/qaJSV+cXJ+dLy92mVAyPBlUUcuD
qukGcl3jwq4f6v5pSx5OaOBZfIo4jPXJeNfvfn3JOPtXcNS+uXwPnKsm5FXEVBbJGI6nHu+MtPV6
Y8EPrrx2P7WRrubMnPXA/TP/kcYjfei2pivtcaM6fklWdUgceBSXCViIjaQnKt47lJHSH6Pk7Lqs
zeN2bh8QvcgOYsrm9sAy+rgR9hA4hT8BsjBnW6T3ps1euaMnktXhG1Pp2/+xYqEw/3d9w6EJkjEB
UBYliHP81+frBdg48TbVVRREuZ1wWNW6P3bjSROvKUiywrTL4L+DN851S+ANh/6JT8GftAGq0/nG
wje3XRH4DqavGI+kkRisaHwFU1SDE5+nLDnUXjIVa9sm5ZLd23TshhJzKIxRzoYcTHW9w1sNciSf
Sz+WtMJn9XdbXZB3BFYLk+pxyTAdjCJ4gByv82mN3SWgttpYuyeNddc4WoNdugK+Xobh1i+/OmVO
ArRQYZWoKxXrwzqEceH49OX53b6pB3MKtXiLVOXYLW6irCBB7e+mFXZxop9mcCjw3XXVifQv5I+4
iGzkCoBoeZO+pagpIIRwBBLBf7Yxs/shKP2lJtUa9hMUFIrH53djzjesf+cZVRKs75EZCrdwmW5T
0Oh8Fo3ZKfS5hcu6XyFLG5T8uMvt7DlY4LY+WoiLOH6jOceGmIsBFlTvN38irKUyEfWBtykaCBmk
eRo2ek/M0OWkAcIiQT0bnuyJ3qAir+MuSmO2M4EMcqzcnI0Co6bQBVELeCvQgoNtiikkM0acXhZa
KLvLIMflmBr6XNy/DBv2VAzxYQOUuoszV6xhjJMPvboJpikP5byVkuUT8T7bpHt3zLYFMcufcJEn
Z4MNHvwLpVv7gIGzwGg37YwLLg1UnHzTKiySmh3D1ZwCl9JjiAKaOOgjkYdHUJPmKERoy3UY9gFK
Rb4t3D+MphnzYHnDCRG+jf3sw9uu8axW97lFVEMcDmxZH6SXZofVbKIAZ/Ri2Jg+DH5scrqhW0xl
HOVi06zAPmvydYOuSQLXFS6emh0KwlMfz2AVoyTBvzfYstVgG9CoOHARuUfw+UaBHAsa6SML+yoJ
Og7kZAHQ5F/D6B/nOXIbRvXlWChOA98PwqW5qvv3CDPRSW7xDzk00xEWZJ60C700/Aslfy2HNRSF
9L50qiyGjwA8rB9557SnDzMPYcUEISk6is8IMu1p7eeLSQO2Z6uGSN6TW2LHAA922HLbbhwPPD22
HRkqbxEn0bkX44nx8v3FrgM84DDbCodtP3OV+4TNRTtZdzTK7UGRTaVNi85b7G6EaZRLNtXopcMK
pkuUh+tdXjMP8wCRvks3r+yhiwz9aovRTse0H5cSXP1Zj1FwUK3QB+s1l3Ccf6Xj5iqI4PnUyT6P
Yjfl0J6+Auf9kh7+ZRGqAnNdjbkOrVY9G43USfLiw8zYUJNcDLM9xZ4cUn4OMVlIAkgH7wtiOS8j
G1fhHRLyKRIgSeTtKfWABQheTDM+7wj6QC4DhS2jhmvagytdZhScFq8ZKdEVaQQ2Fhh1ehCNNblg
9zRVCOpxldvBbxqLfIL3mlJ2qv32VdNly3WIn2vRWuUe9GmP6c+Uuk8tIJGh2hPhlqILFdZkE3R5
IlFgoaxWorcpThE7I9yCERNKd5GsU/wshnqXGS/NuxarE01fmXkDLVi4taiuPYzjVC4gQeE7wxo5
q4NoG8i33gu0n9/wKKH9DIqX2cYPcOYqFSw3f7KIZWBnHqPu7zid/IlBYxc1KeOm7XcgUfacB6Js
17SM/G67kNTqPJzSQwohFGPaWmByQxsMagM9O8aY1vsZb7UpWXuq0RA+zAFGIs+2D8rhZUZL+2bN
3a+IUv86dhZ30exMROc/dAbATNPxHAImekq6NQdvYwp8xDcZzhYYO2Z4PxaP0ojxijTSKxbLVoxM
92UcL+qZD6VvPIxe6AmOGUy8KWueMrEFD13kXcBMOcCkoX9IZdkMaBnDjQ4llyjKZgjmJ22Bt/Rr
kQXR8jBnGCnHJrmynoono1HeJ7iN5dypQ6TpVdJmOYLMFg9xgt6cq/GpXusTyzx7+f5ulWJ5TNWa
B09ciFMaB81FgznLF2AmR8iP63GuUdq7RO4GgTe0JZF78hLunjIwDoDoiqntIowXUVwylK0K4PBW
Um1cxbNf7dx7j2lHTNWo+MeicPJM0CquEWl3DeTTSQVQi7Xwb9IfC5WR7rGPYqxkj5UZn2U5jd32
lHbgO0yom2ose68DFa6XAeO6X/bg959cEcjurkGDLA6HDyabrhhdve0ht/lPnK/bxazZ8fu7bVBz
DqCwP0ah6HMNq+/Og/G8Y0lbtluA1tSfyBNdYGRtK8jO72/ntsXSXbu5DNpwyEfWAWzIQCO76ALf
aclnlZCnjg/eIegSl7sCMuJFB1iD80Z/6Sbxq0Wm6Y1kMU4pLtElRt1WRrzpc+UfzTD4X7XZig4L
HQKwvYbNPFzIUPsHP8kasKV99BwTvHgyruYa9aIte/z5LKp8rtgTRZQiBwC45J7lO9dE86PCzLvz
Rf1GsiXY0TDpIZgtvzhZhj8KUGTDh98xiOkbwShYGhrvGoxdZ86WtJgayEVdS8YqSKb1PRTzza3E
/xPV49OUsqkaMoC7rcKZk9jtTxBPfPcRsAlzkmeuiwBQfU8q4UBo87UX+IHOI/kyQ3/alnHIMfz8
aQbdlgmJ1AE/MS0XhOCrVEs/N7FdLmsnhrKJkzzm281XTfejJqMsQKBNNzVkbuez+YJ+xuy9mp08
+Co7j29jIccGarMVaLm1P1QEbmwZuLBSSas/SdhupeOsuwAL9CDZJ/w+FrpytMfV41EZ9LI7daqY
fV3FtYVHJ8FgJUr1ryYe5X6iIjjC/a0C2+LVNokHkhNnqogIUl+TDp+74bKxqPlNWn8t2saGOaO2
w+HZabxKm2DZs+VlGZ4WixcK1d2dQ0OQfBF5bO5DKqs/Jzr+bqj7g2igvYRBMjz4jN7nyS27pVZ9
hLN/Hkf6tMIy+BFN3V9P8+CBQU3Lbeqzson+SkwrlZmj32ZMLoItx3bewpwmTa5Vn1Xe5J+ch5Fk
GfRrb9Vd9IXvbMaXJaBAIrO3JhgeZpRPOrO6iCTrdrKj9raOAT/Bw2i7z9oNH8BNp5PAh3breLLd
zKKO8dimD2Su22JNBN/3XLe3oMZZx8z8SzDtipiLCdrmAEksaLbbWDtxS7bKh6B9bNta5t8/abJq
vNV1zrIBZ7sZs520BH859rcdyLL05rB483YRdYGZNM6xTtkZuvB1lNN0FY0q16VerzzqEV7IwhLn
FFDJzPqg9ULyuUCPxhxrADBl7UOd5L5Qx5B65ZSMUF/peVv2Kz603zirLzX5SrUDSRgRENwbqbYY
x7T0Ufvb5nPp1Q8XoGkx49YUSYYcScZvbYZS1IGejLf2MaDu2pVDB/Stn9IIrpR5Gru+nDWaglUe
Nm9MijT8YMvw4s3rA4jVF4HigSn5uZ1g5mxyjXZhpz8A/h4WPT9uKh2KjXYOr4d2KERpAU80zfXK
09MQ/eCdLNvo3iIK4ITDyn/OpmMHHHBFYkJ6VJnXlJ58kuufOYbADsTvMbUQtml9peGoq8mHmDiI
thiHDqizVTh1LOjhNkD0ovln9ft9t5kTo+l7P6pP20D/xOSLjYswhhzPSW3enOvVqc+QtvBHewPy
XImgva04pPNgZL9j6hWq4znqGikMbSmYGaRyWup39xahmGpMLVvt8E0UVnwNEONZnlQjSqSsZG5Z
chmdOZFU7ghFs8WAJeaeSvN18M5h3HwSbn8sMN/zLdVXnQVf4Hx+OshgyCiUZsNQgSDYQ7PgEPaQ
vY3FcO4TPJeaM1UYhHHn5eBt0aUj9GIHyKXZSv+aDO7O0sEQ8+lf3aGwO320MdXlSLz3dAymfFi9
OudQ2VAnCQZA783nPmYdReJdHMnD2rhbkkwPKPIltdgSSYZIcp1OtzaUx5ixfyQnD1tSP/haxpgr
G/Qm4p7NAOeULO/bMuxsdN+G1sJLgKO/gWpceIb8zn6N+5K33VKFDS0dZOKd0/4NUnmd9032awV2
TFX0U829zedGH1dMRcyR3y6iQen5QxH08z7V9An0ySFVzK888bOJ2j+NER86fcnEKorJoQmTGQVV
auQnjdvCRuHP3vcHbGr6e51AV7o2LBMt5x2KwaOcyEvPIocSH1ex/7s2ArS3b38MK8txvheIR32o
ZGRF4KVjPsTBRSQbqIoJerm2l9FHIz8SWON4QlHG9pKycoumZzPwrlQE3j83858Ffuc1CYJ3bXtx
QlGTyFFpqMAsLce0Wa9h2obFCM20iPVRNJg5YJR86h7DY0+D5yQZAKiT+i3Jon5nbY2NlGwnaiF/
SFkrnArDVhlB/tpwGgFENw+xepuI2Y8T+Qm6/Rnd2D+D619CsOAwnaAeeuvX2nD0Dx32TzarKff7
5FfW7jBx7ClnV58kuqRL6HLqAfI18m0bKCLTtpuqZsZZGM4OSMIMQ2zK5wCsv+pCzM8kvgSj/3sd
J8hXrXkL46UpAtOe4k7vqcTKREpoP4zt1RPYlCpe2THBjWQ4oEAJ1J/twgWoiDMstfSwcR9bfATO
VIf155Li0Zvt0A7yK0RIwIcn4sbdxs1Z+rTeTXP321MaQ+Xw0U9mr0IGw536H4vxjrOHM2TJ9C2Y
MgwBMzkxc9+qy55jx7No/NnJGkdiOaMmH5NZwiIPgz24Z5zVqa7Sto5yfN553AFS9UfyIzPA4Ueq
8p70XtHLcA+aCSO7cAIbXsPEpwtoqj+ZjPsdrkb7TNNL36fQHvEmkC5Nfi8tCmw9H8Qwuj0EW7g/
If4O/ODXjSdn65O4rOeJo92aceDVyVuYxTjQmoKlm9qH/QDIL0EptThx9hn/yWf/y6QQy203lFPQ
fji77NiE5qluCCvwae4gqP4Bc2RLqOcIPWKq6hn63prrwyBR/SHkHKGrbfC0Z126YL1k8YSZeYrO
rgURNaxrroJQlD65s+AQH2Z/LpLAFQY9R3evD61E62YwDuCMhzGf2pysAwyiCHFCpZeTHQaKOTir
d0MzosVQiFcBeveSh0F+wH0yby2o4dza8a/LgqAQMdTYFqmPa8vhzTWQ79ct2ipWZzMmtt7HANdt
z0PYv8MvEgXglDanKB2HhsCX8YINZkeMN+PsGy4VmGFKoXJzjfhLgicIBbq+tWD65nU0AOLb8RAP
04yMLn3xRohYyJXs/Gj0T17I98LSrpjJirkeHU7eEG86JtI/bnJ6mqDyPBLT42NCdsab2HG1GYPj
1X75Q3RahwCMfaNx/kUNsKBsLhG1OPja3svAsGsy/tqK8E+gO5WDi4Np48K9GJs1X0F+Q0PAQ4cg
0JAMSCMOTiPCl0zVfG9Gxorem9tcwSQEcNXtXEtO4UCOicUTjPhy5Mp/Hx3F2TwtWbGmBhb3XZwd
Mhinnk+rtkHsgaGboeOhFjhbaziWOAvvQapfaywjKCEuLKja/jQBRAxjg6ig44No0VdBEQvzrhvq
kuvEFD1gplxSiYJPGUEQQCNzyEWJuyaOnl7mvJPQpIDO39ZsmvbzUvOdGIa/S1P752mCfqFxz0Ix
t3fqDBw4x7xWjBvawa5DUhluVxqYopHjAa4LJgYczmkTPY9w/CHltwXu20G4UauSDwNOFKxcdH48
j0z0rDs3HfhXG9jmaiImyi4UpDJDOjzrdT4u1qAqcoIUEv0KZhO+KARw/KwV5y5I/sZIdwyI2faS
4jWG3bmd2kPgJp3bGPEbhUl2pxb2hn0XbclZ9vLCcONi6ZF0N0z0YnRzSuzyuAikV7b61muUlTvG
j0GnsSXuyLhmaQwpQ6Y70icfNsTu7M3yqs/AdzdMoVBXQS2ZHajQMlyhFY4JjASh0oL3D1Lzy5LF
HzxZf4thS8qAeyZfVpihIso+IHWdolb8Dal8Rx7ghd3tn5GTJk+gvy2W0YpF2T8LEgeVkyAT6JeM
6tco21ABEE1TKWkRupj/4h4LDBEvbIhaSKM2fDBRN8GlsFh3G87GNSmtME/DGKd3zGQvYecWZor/
kUHSVShX72k8nKxO9wAc3ifeiUJ53adn6PPkrciy4J+vcdwBhgPZyMQLRXaGReu656v/0dRI4kOa
HONlTzeGDszwhyAWCihq/Lt2sswYrDroWMu6fCKN+uEWdmk9zENxW6MZD/6a0TVHf5mvSzJHJQla
TB3K7O1Sf6jOd5iX2OU5pfTmhUjPytw3o8obxDyLhN8miPHS/91brXcorHxfszX3MY/jnESmVM5d
jNSEefKcaGCUJfNBbu6ldgCjyerzEuWQlRxTSEG7JAURzg6Bv32mgXcUK0NZhATo1TF8gK1X5ZCh
9i8QURENQRe7Yffo6DVr+9cYqy1nvkH0z5dzgfTHhl5nhZ9apUvIK3ymqz+uOxuiTRx7M+zXtxnj
ziNY8nW3bLh2JZM4uRPVBTthmj185/Ag7dbsFoU6ucZrvJ9J7UOB6584MpyFiaBeT2korzbsSlyO
Kx8YUUXW118R4n35ECQAPlD0yxQXr6h5xqCDpRk0uHEhQcam7sdTk3o/MvnXbLStHDd2p6cenebK
EWdHZMn47NSN38E10O59POly6VFvWVO/DgvGBY+N+4bh9/iYJlVdGwILJLOluoQLfjUMNlrVgcao
BBqcRAuiwhQ7PPIP8WSQfMOZR4B8r0JBLBmaW5/NB39M+aV1qBGwQqQ3s6oFOoxQsMRRrdIfLJrh
0cfLcmnx3zsKxpob0Bq+22Kf7KNIo+ipdsfogCATmXEWJDvnB7gTANFBy60ut5peTT/4e3zzyMMa
H8D6e5sbXk2J94DKvmsA7eWbP/2NgdjjlAXQobqzP6ivgdgWqDN2azZnv7W3TBXpcdmLiVfIqxq5
K0jGYybkA1yEvlvOevoBwmRElnkES8xeJ07OYRfC9ujJXVUlPRpVH3aUgn8Q1TF4sVSHRwkZHSTc
8Lj1CDuHFqCp3vqmmpzyditnO79G/AuJ28PsxrGE55IBCneI6k22JBS9YZcEyR6XwTxnvTM1KkaV
1ie+JOEfj9DnPlEVH7ZyUborTdJtO+IFaEOUf1lwTpes02IPpLEpjErg8zj0WgMlHx6uwy7iKYpz
K0EAQll5YlzOV7+drxjdaB546mA3PZUhfVoyXOuQ1BzIrLlnicSEkZhiB0Q1KycdfyqgoBXOfozB
gX8B1LVDAmUAZk1+TPHU5zOm/z1G/T16USgtAnAfboS4cA7OCHcrHZsO7DxupMINCZ6p90IEXUW1
hVwftaVCm/OA+twi41gh/vuwZh5uAnil7aLzeEHHFGziLnfTdwltK1dJ/dinaOWTtsPaBAIWOg95
+NXHruphmqUWJv9iYYvBJwDpzSvfaOxXvPedi14omeDbrDiBOmYi3H8wH6VLgoMYcaGBF6hnJn31
kMygxWjrPTmJk9g9bStSo+scvmAW+u15xBa4/+BEJwMfTGN1JwPCZLiagq1rdJAR4+BL7MPo1/8s
nIx5mGz2sNLpE/+MxiZm6DpQ3t88oCoVI27ej/erfpxs0nKVcbDH5UPI1MPwYrhRConaHh0gQmec
rQYTfS+PqsNlDPM4VkppiEJoz0COi/iaRHrZj3WtcXx06+com5cB15pg2Ch0Ev6Yo7oM2GDPuGll
p1VGr0Ht4molWFrYXt1k+69wslnRN6LJhxp/w4X9vkE8ff/tUis0MX5ogorSKYBuSXEh17aOpSbS
q5RAPSVQE4h8b2Tb/1S0Q6Ii/uMmqKV8rMl7SxCmHAL0/XZTzxNpLhsX3SOH5QKqxiuEIdtT4xOz
g4FtSqtFcJl5ACr+zl0atv+mM9mWnKZty6A0Z+kjNsDXv1ADJj8LCXu5D97cQyUa3Zu0Iy5oEvO7
xjK9aCiueRDOb1o08dPQwzHFDQDTyYtS+YGzWOENnnoh16msqYZJAQ7iGNHlZe1IuveVC0p0+tse
BIEqphGBX91mEArwigrTeeSAkmVObTqnZ435YG98UGnbMPU4dJfsGTDoqe1rzF01Ck3mq1eNhRON
yy6znD82Cy5TksbtpG+xUaPt1vnwGxnLTqHEpViBm0OoB+YORFh/eVZYeq3RPeZste1mVH2kjsSX
192WgSXnKeijMyw3sGT8AuWHFvU3PH3/ouCrPq0LsNwkigqJfv3K2uHX0jZ91S/tS79Yd8JQACcE
V4I8T8E8HOMmhBIhWAylV+Nt3amDFVYPw5H6L3TAXzz9FXTLchuzlj71G6cXikJJ4WLAItL4cYzq
h+8vaMvNQx26FUt7fQmtN50Vws9dnrLcJVv8ONPAVEM4/gSy/Gu4gxbj/YsXRPpR3UIcbkVI/PrI
szkGouxl5zpF3rQ2vXzw1AwdPEWjW0OS7aZkwVUxMIrUBCEhAUBsY+9P6LdvMoEj3YgP4UNlnkdJ
Hhdfxochk/4+YQ4pLx8Go48oPrRT2KQDAKqsR8PXuC3F5AN7fVKINK01G8qeeKJkzrVF63r6PCc4
E1WCrEkdXgYKOwXXeeeKevrqnNnALqe/Ojm0p7BuYXEuU3AJDdvyVBD0OqEKr42CUIUYjCiyBC7P
1kzvDVw0X432uvW4Ne07urAxCBLf2SMdgUiMoj6XQ9JXlBh50EEMqa5Z1GvC20c0VDOGNg5GGEjP
HlcPHOJZgQfqDAL6aca6AoqMeE0y80k2cnfcPahHSZsd5pV8uimyuCahma5AYn45yU7EpvxKXGqf
Y4mQ0Wjke+pDFtceEB0Sg48Hi5DtAJYCcI4MZt9RkyqhLbvGwNGLdYEWm3WTeBQUq2MWBya89Kcv
YVTHLaowtvPBaX0ZIgcIBqhd9U3QhBnOv4woc57j+sdmt0vF4y76l7dskyA+Z1N/sJQuv++JuyQS
MN/orA4LD8cztWA+wom/BGM5Yl4xaFYcHA8fF6N4g10BDaTz3k3BS427aV799SXqTYMZxfXXWvBH
mthsD+InxDhwFNxLjiADzlHsuQutO/Rp0Yjp02v4K3HipwwDdcF9i/WrWP9a4XApTkzIYyKBtCS4
26lqe9zw5nvPS4/LWbJWRu8r3PE8XRBxVD3iya0EXK06+dKNCbrjYLyZEHbr1qxPwOvgJGcE9lCK
RaqjUvYLf2lL2H/dUzMB4PiOr8zhPRBGyW8hY7cPcdMnmFYcnHJqKkuQg8MjRzXD4cu9rd5H2qGX
WhpWARXfILODUt8cbtryZ5mhtSfLziYheD86z22RTZi/Q87Z4fsX9SrYg2d+eUaqf6ZM5fWC+6kc
7omAdxJzAhtUPZnA9kdo7vTiYs0rLSuma/3vq4cd4P0/6Jw3QXys8X8xQKZMuFMzr8lLKrJyC9CU
LjNaigJYelxRHyaDH9T1A8h4YEHMPHWIeHhjt0vqcX2O+mi5Cd0C4FNt+F5rjOGAQPYzBovXxK51
hVsKaBF67Mqz1d2+o0YxIJdnHdW7b77W7+py25qzl7L1c+b9deqbC6eoxu0Am5GB7onI/I5amj7j
TgFvN0GQOXV3A38BfGpYMOxlQpfKF9ODhlr+hDe8QFQ8TFR3j//D3nntSG6tWfpd+p4C/SYvuoGJ
YHib3twQaaroPblp3mqeYV5sPmZJR3WkOQfQzMU0ug8gBcooVVlhtvnXWt+aVHe844ne62mVey4C
zYlRdMKgNgtOmjjaQSax6dufPvOSNxQ2Y8Ef5+wYw559Mxmvah8ZhyatL86qlSZvIL0E8TAQPNRB
bKxARhJ/Gts9CbrprXQhDTCsHDmj4QJWYtGgwxVInjj8fv2RfkisuFtHaYm8A3fF60s1uocVkSz1
riUfJM1wHdZmuCT329/7DZ57F6PadRR9t7ZRPZesknyZE0QHF67RaiBNIrvM2Qi9SxedYV9Q2Xap
UaXv+sAQQit6NkbiygtNm92LqRxfa/BFsOaC79NAcrLvp+JJHcxlOTuyqbxpNloyyGM48tZPpsxe
GPMrXTd9uKjLoXx2aHAYOpW8HsyQshfJZ+UMwBLqV4ft/xC7QXbpa/vVGcU9W668bwivelXtfyIG
attemu5Zq1TbK7AfpkWr3gwThuUSEfY9kvFOGo91qE9vfaIXCyA4KEnlxKQnU47S6T8k78Bt3Wj3
Sh0HF5+kzl4v220jMaAVKE33VRr6l8oKdl8/U9Tx+WuX1n0gGF++fkadwYl7neMZSegyPIQyJlAf
1aBZ9Q5eXiJU9a5Cvz75BPd3WIqLFb6hoPHYrNtFEjvFU4V/duMr1bn3Z12NWfydFD5jtYJTpshK
/Eea0teraRDuye7bZkkAmn2hsjt3E+h9A/nzyWJt2jd9aTxUfeTBqYlZLJpwp0Zqeox09kdZoO21
cZ9vq7Lc5aML548Mxo9oY+4SONErpyY2EpRLlY360cYdAnC4wpLSN3vTsrjRAktYaowEhZ67j2w2
6675CDJzPNYMHy/OGJncDkvLa9ti2AQVxBFnWmldylkFD0K2/FqHvx6aID47bFXbr3O0VhlYpVko
NlWMLTZ2go7XuXW3AHwY1GTReC2wf58Ky/IUy+Y9mirbas6x+1MEMcIGelWpjo4Jz9qUvHk2WFMZ
AtUQbLBBz0+Lw2WNAcRXcrAbzYeEsejJId21Nvnwfi3ESWrDYPtabLXaXZRwWNZKEfknx4y3hTl7
2qzeOLMIcJbJ8regdMWng31Fz0MQIESBkqz2H2K3PwG9gFsVEq6qCwUyVx9qO2PGHiJxZIuvXdnV
UuGFrWHMm+WqhuNx5/pXkzn6OrI152j2xqvWD9Zb4ozVwooq0it1ZDxlVcUVEGPwySDj+iAsZ+1g
Geec1Q5XpeOlJlp0VSWehlZF8S/r8cFGEPMyJwN7oY/q4ziGK7xEj0GZnVqoVktfIbNQ8X4ZkeQU
4vJwkfoymw8f7d3QhsxAURzCSbm6FRPtKWseCtt/Fy4zjU41N0yLCohuTcsJLP9EZ2NKgTnzXzyQ
/x88EN0QFwIn0VZkvBmMsv9uqz73aEs5JbI+9g5easJQKaMJ3qTJ2N4JS9lnaWyTtZv9GsbERZwL
BRkKLGaTCUXu2of4PKaovZmcyffyCSk5Dqu9MbReoLbBvi38i6sGmFt5J68CKZ7qwsaxFl5wDX/m
HHiPDB3D+Y6br5q8sjeuazyasHPxgHGpbYNlnk/v4Tks7E0aVd/10XVWfnppiEh4HdwKZORVSvAb
k86a+AXICpdTc5vnW0awR5lpmMHtb73SxmCDu8M067p+XC4sAz4WB/0HEWX4+MzxOTfcY9ha2YpQ
cbwLnVXtl9spzfZaJLkFKOx2flBuRCzzrUXeO3a7J9YqBA5WeIeBnecbitfjGWQmwGbZV6xKahpv
xgKcgD89qYF6jHp//iQGt3FV7/RqozbuobEybgGGct+lxgv4YZXBTfzK0cfAD/SakHFcwXmpq9k5
kl2ShZZnj2oBeS2CtwobrXw0DBYUrJHV6H6wKr2bjc+AOnt2mYgBF9MxOPVpfyjKfKfAHIF7xqSo
Y/JQ+3LLkEhugAcip8iNHXr2wP16GEEuOvUWT6DJYHk5mPzJjE9Wjsi/a2r7GKX+wXJLqImO5t+i
J1qCSaAVpt+VUSNGG+gfgdu/j9oVLFvoGTg8kXkqDyd0fUB1wcDj6KDcWsyzvYra1IK5yuM7WZhL
xLIPZt7vYx8+yAZDSsL/d68q5RoYUWhwVkVsiTlFd1eycttSiHXD4aMNkxuQPSc1LR+R7bd6jXMg
LzyZ4b8sSJYXpXlEKCSbmeYf0jkOxPAT4WAuj9lT29CrRnk3qbGKV1H7zpDyKAYbW9UACbuxik/K
hHi+uZ7lBt4Bpm89Fwfs/n3E8YT7vGgPKbFpHBPVRUkRjqumxmfQe7bC1c8t2kPZmI+z4bbQZ78p
YqlTQtiyaux+bisfQyXEdihgbg3uvcRHDMEtXumZv+uL6l5LsdbX+cmwa3/ra1jjs2zaW353DUx/
WzkGRLNdxpE/QGrNSsSbPn2t9OQBklcComUhCutR7fNXpb+BsrBr8aEThFsYd51qH9MiuAVw8pyX
aIVmVfEuVsPboizChW7HYuEU5bAYVOu+7RG5Ck7j1QjOFI30ZsrgAYioOPhGxhhS1m+dhbsrireN
jz3OwF5t01WwbGR/h8Tyzo3sATwAxKOoOTiWLFdOM5j7RoVXZX0WSBLOW1J330zxWvtpfzQnPntG
2KJr7/oeAb0tOkwE2fxbAW/Q7pudEbRVoTigBCfHSRmGpbPMfeUpDOK9MFAyXZ/pZhOKR0sZCJ+5
EsgmJ1te2agg9o8byLNmhddSw3WchhgmYuQWh9cOy82G+99iZNqKd2yCppkvBqV+cXyF6fmMeFLU
gqh4jccmnopvLkdNPIjZLJFVG7O1eTmLEJPF1C17PWTSrTO01zU/Yhq/CbAR7OOWy6rQs+WgscfK
dK3X02dkm5++Pd8b2XslVUXs484x7FymjANHaRnNFgUXrGoULYfqJlDnw4AGDb5j3EgUI+D8b3e7
Pp0P0k6CL9v/xp36TsTRO5GB70rTezgJiIWpKN5VnXHDgvI4y41TqGMot7y8SV573Bo1ryE5WNeN
H0yFbxyu7wM0hBkUzeui2+qniHjXAVQ/iLFBtZv4zJlG7ZnzsNHRd10cMP0oLN7CrvXYzNdl1ZDM
njwL0iHDyQO8l0X3XWh4RCZ0P2lpjkdgBItJtWtkpa6q0nzpJuW5drR6UVbthRcjOd8BL27IwLJG
W6V20w4BcQv8d8m4KrDMOULNWY/r5twbFmzpLgmXqX1FJXFWttYQE58nenZa8fbMFX3fBk+RXdTr
EFoNKy081abr9n7Gl0W4HT2mnGc7xTpWM/3xa7M6OfODXkc3xEvOUG/Hldp15CZqu/vgKZsSa52E
1qKPtU2jxbEX984l9l2Pj7S5BEOSLPMiwC8mLDR/fPlL3FSR3vW8QxImPMajOwbZ2tHeYitkogSx
ZXKVa9mHiL7EW5UY2mnPToJvaQFxAA9/hvZfZ2PvESnmwN2rH/HkttBVhLtTkYQTtb8majF5jLbu
oczcDMh0FWntrc1R16UrYcFUflrqjU7rAcxPrPcPCbeadZbhtNVQZ9ryOR5bbMDEA9hG7ZlRaLtI
3skus23cg1MMmizTV40S5QvbRosKGLQs87q/un1xj6H1ghswYyFcpsnER3xahjFss6/g0l/ClkGz
55//O6A9AdCP33D6/7H5Vsx1Qs0f/1fzd/O3/+o/DfXeMg1yh38DjfwJXfY/fq6m/FFZIn58zW/0
Msp7bA1+uEZ6mrAUyeDfikfcX9jMHahhhvXVxAoj5Dfmvf6L6Qqas8iJQY2lifInfBl1opYgBUYz
pWaAMqEp8Te2/68Z23/WO2J8wZF+zybPmUOdEi54aPwpOqHDP+TOq7RxacAhYc31rdm7epoc80xu
BEM3oA6RcW70ACGR+6sIDdkuvn5YB8ltlEK8zIrKXXal6j4GBC5JfgzKeyn0Lf/P5IhPbG+WFdom
G9ba7ezRc0O4HCID14hBL98ZyPsL6G3KbUyoa+2kqViMkhDRyGBvVcqS46Jr1Bclz7A9izB4J517
DWRUPJAUsrejZt+6mt+f412it+7N10ORW/FRVv29CNlXR0bHNlzotVXGyi2CrcL31d3HJEoBDQy4
hJ1YVnj488/e1sRe7US0MiIsfMP4PY3nY3I3/fpgmebOZ3a7w9SmHV0rcphik57sYDHWpL9XtQ7b
I0v1Q5eDU0xD214nhpp6QZrFd9xgWy81Y3pVkjRbhGZPxNea1HQb2ca073W/3NnkEpfAtHfV5CZe
aaO1maIf7zvCRUuno6gj6zoFHUi0az19Ay1psFURfHBeOq1/r1o7+rDq9GQVfbGxVNmvMo7vV4tX
qTbkWCyFM0Mbojl5HHUHl9HWE574c8c58EbvbG7yhujWWq9iIWGBXQ3SKJnX2iBfwvCkp2P23Fao
E4oWP4i5M0UvzgEC4Ynkk9fBFlhEWoZpV632mSKnTzGaLxHj333gQhKyqlo72YwYFhapnUdMsune
GvRpObpMFrG5M5POhxgPk6scTfCRl0qfrWxZnpzMBLZr7yQjCJEk2DtiWo+NM727HEx0UQ6fuYVF
tBdOf2uDMSVHUsLP9KP7WJfG4euhGK96m7qMBkznpYnGbWRoxYNi1cMhZgf0urJyXsAahTBic3nu
A94JZJx2mF6mecIUH8n9yA0rtXPmOKquCtfwb6qoib22M6QHBpyzp1lliz4KSR/HEuuakl7bMM73
na5srWQLq6tpxMQQKbtLycGtrCxhNN25+U1WYa1qYV6tv3769dCkVezhj8Lh05XhmvS84Tl0id3l
t0RCovtERNF92HExqNsyPXz9WlFV2nqKK5/Ng/+EE5h96nLt/us3vx4iJtmcD6br18+Gniha1E3D
dqqujsV3zrJUriR2o00ipfpg9bVEfBvwJ1WO+kARjAb6LtXXcnhj6oIhtDynDzoY3mrm8fozmXeS
QEObmdarx3B7CZsktFN4Yib6TjPbV58pv1YM77eZyb9lDQPYtI3hlGXC3rQjCJDasbvHiJngCoRh
tvn6aYNRmyhZZ+4izfG3IAXkymLIfMA6t7S7SDvaDZK5hW1uGbrByL0nEmcYRRWpM8I01Z0D1pip
kfAaYwR/N+3KIDyNMwG5qLGUWBpUZMOWR1VkYtFvO4veoKEdN2bTbzUrNVZxPuiLcCT4E5gSKMWA
X3jAYWvdS1nsHEsBvusG77B9HUxlcfY2VnW9yCpx70wYZh2LdF55oVvhMKC4LEfLGbfVyPE8eE5X
UwL3vbZEhK++uYSKc+h98a3BNaCFIvSW1jhoLCqEOC2s44UN27FvUEviWjsEMgkfjI5LcWLRShDZ
y8bm5BCXEcFUpn2aleWHcRiNK3qM1wkbXKFFjZFt9PpZ1uEID+Yh6apLhkiwNFiTPUN2qccsHA9t
Vzz1tah2YZIPXjzWXBYIdJKxpwQljeRrQ3jqTn+P+yZ+lXWrLpPBFwtRQQNPwrK+/vVTyT/s0Pn5
MPEf/y9nl/+cxxJTnxmI//hYsvypIfV3qKpLLdjXF/5+NtFtW6j8MjTuGa368+GEtl9+1xT06/zo
9f3tcKL9YggV5wrF2T+qIjkhNb+WonFw0SiDpYlHGGygFo15f+Fwoos/NfJghIHWxp9FXMgxrBms
8hMQYRQkmAJsul6s4MBuMwx2ZivMdQRn4BSlqdzUJPFIaMbafqpLDJmSGf08PtpObZQd3Mm9Zwto
zkHr47AS1V7R1XFThu4pVgv7rOLE8mvlLSpU67ZWaphheElOdgkrnHtWuE0qR16n1nrxZQjJiuD9
qh1xT0vHv4ZDdZqo+zh8waga/Ppea4fdZvpoShcRtW6DlR+2zUVtVXVTKbI+FD3A7FGkwbaqZ4XQ
brlooyBHbKXPPirF1lDEm+YT1fRnJdPQFW1VK/GwifnErkwlCY5VxP5EULE4Jdz+3cYxbvwB/2/a
98qGQ5FzRlB9k2VwckpBGjjAhy6NgGsbetuBepGFFtbOpaMB6Nz2Z9Vq5UkhkwTDczqTMU4PoBTK
a6Rn6xo99OSABcP5VYoz0jS4xx7PtAkzAQ+kelZzir96zrFo9SUJhiTXTlr2WiqxdWva9R2QDOWI
B9u6TcXk7G2j+DCxKxCumu4DYpN7ZYTwoLoietMbbASmFTzXc7JIy31nHTJLesX8Jp1MvA5zq5fR
UvJlzQ9APYc5d1OsCBYQm5l/7etHkAw25twWJubeMEZXGLuUdTk3in0Zjoa5Zayibgxl7Rwqyr3e
Z9lj5GTVKUjJYo+ySfEMVRUGOcfz9fGmxWJ5GAYzPfh1ScMLn5xlLPiLV1SfuUH13jt0oflzKxq1
LC1QPprSwrkzjSND8WZQo2bNfWrt3KwWY3NaVfHctjb3rgEpTc/pVxeb0jsrDSDEviyC1FONscKb
/5z3OtpZPYPAgh1sv2hNQq/Bh8igJREaNswBYi4R08bObnXwB8cqyB6CJMtve0MBsBli6GsT/2gN
JW48XYxLGWkWqBA+L0uyofk6EXDbMlft2N7L5i6pTKa/KuiODBP4ZBv3oTTiE2zVcMmcAeNgn7O9
kDe/usQgQJpsSCIbB7wKh9HCRCYlugwAbk86qHXssMUyGLrMS9wiYS7TH7VABuevhxxgwzocZrNC
7/iHLh7Bzrg2u188kMJreUpx1PGp5FBEGdRNJpka4AS1hgrzVmfkWNV5nl2TYIZsKrD8DvNq034J
aeEzK6IFuniYokTu4btoWOPGQ13gzxjD8U4kVr4E2rSjYYtxrlFJ4gLE/O1bVRC3xI4Cmi+CIxVg
8vSfeoMjv8Cr0D6Q1CDfUcvpYU6CnPDDzEqaMz3ogoYbiA4nocGcCzM+2bSKXftJqw9kdr+71twJ
kBYvkiVogU3uEBlGfGNAg7jhDb+1Z8n8X/vkjz3tfiy//fu//V1t7c/QcfYgnUvtP9snV38q3/71
Dv/jC3/fJ/HnqnBb4Hd9oZV/vcI7KrWi3MGFanKN/rvuUKpjmQOwEZqGYdHmabG3/rpJ8kUaJZ/8
ng2bfN7X/tom+QcAuUXKgx1adQTzBdVR1Zk1+tMemWI8K0VpaV6iJd/brDiWzk5gpbYccWRguI96
bVNPLcAVedVheDNfBCJkltpCa5Ct5bi2IXKusF7dVeFrkIpiW0jnobTd25+e2/8D38v8+4pTxhbz
d2rxvSJj8LeeO+F//k51u69wBUrNG3rLK5QChmGBKT7G7k0gr8+F47npgJs3SHbTDBHy1fGb2nTf
Gye9szs+cwZyGJG5D8VSb/AJA3lx9p0iDDJl6jrx6Y3R03DP7eDFIdPQtWRbNBMTaol2kVIrYTGA
7cY3h17TKRvWhTg3qumBF2BpSBu01m6Ju/5SC3UzDCOoAflKZq5epxN2D9vXL+ANtIw+1Ihv0w4I
m/zzpwhiNc/B7+OY+TniedEd3rqGzVvKnV/tn17NAhneGkBbeKEM7lTU/WWW67X74tRia6ROvufg
fZNXItiR/CJNXmr7Ge+87AVksRrqZJsMV+6RD4lF0chYiRO5K5SrjEo0yjsJ5yU3WEXg/2pPMqFt
zo3vqRXFtj09m2ZYPpoTokPbIbW704Y3Ftah3OKml6bYuHs7fYVIRy56xsc4+Y052rdmPrVrMPO+
EOkmblx1mY5sr7zFfC/tk0sU+vCG9bzKj3HhLBNpq9ShtRE+8NYGC6nmEV78IVuksJX3Q0yyIQux
wpWlMR6mJES009mKd6Q0vSKqlGtSQeBQDedMslq5VnE5wHIXXGENHdm0Vqq9bGwgR0rwLKWbHERX
J4dEqgnaCnteYpes7LwN9Sgd7qNkpM9jLECcQPnchLCRN34bWCSr7PFh7iRRmWirXWHsv37Ei7ca
a7vFTRZQZWTGV32CmyUZFngN1Ub7kSAJpD+8m0gCnYZyJuy9Cu3kp4evXxsIRHSTO6ym5g7kNA1M
Jk1GvmtOR2z0XiSmck/0tFsrCXU0BVrHVTP6e5lq1pOVTRXeiO4zirE9T/ZwBSF0hlUPKg9TyZrj
IRLpnBwBIXFLZ8azI6NqT4tuulGr4SXXaUQxWzTcepQWxIkBXDplSrJXqp1Rp7C/8XemsSZ3uU5X
i5MrEXh+zOVJiNaNsxGHzRDuQOAp22zC1uOPWn9FGOcUdLYbZQLdaJ39HoPEf1HPemAUcLXi5t5o
qWNwtVd3ILfUxlQ0IjWqzrOcSoqpktn5lj/0UX/LsnjhzTo3LVG5RMt8FVjbRDRnbG5R+liLgEmD
aW07p16pzXTby9JdRgkzpYxJo5uDHlLnmjBTbDiWzp1C+7xRFsw1D4Vpg6NAumqdbTpX58oHjiAL
x0w/E1veBpwvjGK8BZ7/3DHD8mpZALKAM21aQFOy+NXKeQ0b3Wt74H9hjDU35Rujs95c4hYC/WNM
D5XC1MqO1oNvXuqBzqcYcthCNzPhjWR+F5VEDO2DleLHz1GJ/GTT2gJ3XDzXWoaetusEEaJqb6ov
RUuRaRrKa4uVf1nkGYSUbk9J6ZZe5VU4aXgRTO1SGt0tpYq05zjafaI0XIO6q3DTJ4zplOwQ2uhK
DpdTfKN0FPK4ACuU9h1cwVpL0bK15Imepx29l+ch1DmQJd9GH97X7Mjqi8MQVohsCWLdNEKAtXhw
rYsRBC+ultzYrLiCmQuKO5tMD8xUYxFyjQJKDMlGfX42DaQsEjLEGpagxJdOYW/jkZeInVpD3uNq
mgGTW2C3vE9tLVsbQXijs7QprX7rD/im6zw9F0b6MiUAO/USq2jZXeIZrEbkk8K3EWWyJ11pj+Sq
XePSQY/1hgYgF/VXoIPmRlTqWVnfWicgIhpgzJbvShM/KYE8i+h1Cup3tNtyOQpfEA10njXh00AR
cB9wn5W+vEATvjOJ+XvYhhckdbfAmc8z6g/eNKE2UncDLJGmnAlKWnRnux1z6ezTspJsWVnugTfp
rqpiDKf02ZnJzUTSRSHcMsIc7HTs8CCDRrHOpgw5kiyaTJ8CBHQ8XfZFuqC6Cy5uXXtuzPZsq8p6
yoOj1NJLsDZvuoFGo1Z4RqeYsNCGW9wt2ya9T/zqW28I0tThjdq6GBDsfST8O9xT61B+j3v72Z5G
CMHpp9sRr+ytXaX4d+HMMneMVV2XnyZGvIU5/yW0xDjkYfWiOPoFKxZsoIPe9regjClfyw4iLp9w
Uj6TzXhqoGZm2nSACxZIWh5rfa3yvjPHu7ry7YUTFgD2mO13Vpki344UZheWy7A7fIqGYCM6xFpg
tFHQ3JBEgsNW0WkL93otnRreghPT6zJx9KI0zM9WcZidivklHpyHUBJda8UmNtqzyOV7TCJXoJwb
8jZN01NSj89Va97WEx/fqMAKkcHTKUIONtVowCbFV83nqree4wkTtmJcMkgNkHaaFYiXI4L6HVs5
RYCQnDmeyQ2TdVwI3bOGdQgd1H5O8grLoey/9b3YUJ+8Ka0CFbUZzm3uIkPH39uneoCALZkG8KnK
vmOgvGWgrefFNRyb51J/N7WQN2JZ0BBKrQMhaBMnHgsN2SebLLgZCWpYHf+xS1Ru2QnV6gnEOLz5
7VLGisHYiw2rV4FFJJgP9gN/USSnGZ0ISHHP0Wa2A8KSgmD21NRAsozMpFkcrtJoBcnetapnrYTs
NLnuSYt0wzNogl6QgSoHgY5r36uUhaCuLspBk8ehpQwMH45K6MO9Vmr4YUo1Oyhxc1B6wji5ZMkL
IyjXIsICVoP6UzAaaG1wmBgTRMK91YvqufOd4gC4WC4AawRLVzXOyYDztAQ79NxCrRSy6e8z6Bmn
yphDCfOv22GKTVOP072e5TTBd9n3YfJvI3OgvnbMaMYgTd9De2LDbQ62HZwQ7ChodfGY+DSbTPqb
FOUlTnmqTZNqoAqKRjowja6z7xUlH0vkIr6ZJ92Nv1McjOtAVza9VYqDAuDAnS++sVEq9xJf5FIp
SKtqhtyWQUt3KsFlGldAxftoX6nrbCox0quCFYlCXr0mBtS4NdcKES9I7KN5GeWwz6L+0qr9cVQN
nExtl+1HAz+Z0Amp6NO8QAVl+MAC4U61XER9sG70NmZoh6zWAG80M+i3TgQ9ziBktBQTFklrH0br
3F4oSdhsG4Yw69JEA4LlLzdTJcmS1mqzRzy5G5Wp8Nox0PFTZJ3njAgDOpzdhWLUxgw7X4Vq9r0u
62ccKs3CsvB+BNJhK5ySVQ5JYOsE6UYDp9lmNZkpiuFMYo643GjkDbDEmSq6vFY/f3WU6O0uttwG
c0+O2imH20Jt9JVPYhCuOCZuMjhEdjOccnQgDdQI8+XjyozqI4TyVunuwlWCEwEoVHVuScYlinoT
OfZRSRSWaxLANdePYb7VDKPzMUzusbCkhi4xPpWN/611xrevL0FQDEZy0K3ooyObxrIub3um/ruk
EyYAN9XL7e4OCfoYNdZFLShE81kZ6NO1g6UeaLlXtOXSBa9H1o6bmtFARh7eNL19ya2CMIQ5ZUsV
KOZa6WDOdQS9ykn33CrcV0w8sKOt7NE6asyRXD8BL6KhMeZPpT6uiybdoApQ/hruc2FYiyiBL2Lh
pa0HhOSwKh+41K6xAK+bKvveOx3kioh/L32nRUuD8zqMewD2xrDOLOsj1ro7ekOhnVA1xFs3AHpc
3cbS+YjrKVyAcPtIipBqGQKhU7+xQAHJpHQX0gZEgV/QS4A28hJdWQ4hLU36jcinN3doDkvevcVG
bQEgT8lnF7qYN7JYX3XYHEn0z9s+eL+SYKgVIHe3q9i1jgPE53DUbpRYUnSAt5vmgOlOr4u7IbCP
TQ/wh3TI25TIU5IAREUQj+ZbqA82rtOSjV8F/TYeSGbo6bbWOlJfOSHyUkPI+nowfTj22sDhzU14
ehWUqLOpzJ+4yqD2Ou/VbUn6laYF++TOXbKahtUZLz3hzdENNulIEqJtJaSWKquOZs0XGcCS9YFq
jChzbzP9Kp1YQ2UOEHrMpW5zRmtL/9RqzAFdchiFbd7Grf1Ac/WrlpkUGxOTD7mBZBgKVrFILx1M
32jkvCuVNyTqN4r3Ss9Rsz0RCjq7p5E0Dk05WiH3Tt2wbRrOcxj5kFB5TfTTCGzYs1P9gTjQi+nj
mFK6GYUQDBV0J0ogAoov6p5zEsG/jY+f8cd1/C85X/5bakwa8y6BMeWn6cWfvC/Lt//1P9/qnydu
v3/VT5Ozf+h+gfBuubahGaawLZs5yG8Ck/4LypLFfIyMn6ASQTAD+V1gcvCp4H5h2oYq5P6l7j7N
/fuJ1Gx+Qa6ij86wceIwlvtDs5ZuBGICToggGwdoQ03iAzS23GVaR3Lt23P6VA1hV4J+LKktelLN
ujuMcdZzUeZfO2e0Pc9oOm3QrinpHSQGo9hoMepUW8YfXTm9y8l3XtocD6ez0dK3drZugHpTSFIz
/8fYj9I6WzyQcoNtOds+KvwfowT31YusotkmUPeyHW/KUQ9vDOmP23Fkz5DNlARL0C3awcnaWxrq
gFyUsbXLwRueO4O0dxIE1XMxWMpKG0OITp0bXRRXfwFjKq8C/+2WiqOMNRjNq5nVr3jWwRQEMW1G
FMwKWYVUFhhoZu2snoXIaNFk1uehEfdGY6WHvhABcJMZilRSy6zT6bQ3sFszLXO7zWhG+algZrku
WWYAMJN2Fj9iYXTazFPveJ5/Y5mF1M1EHOxW8cLKtigYlg/z1BxQn3tV5km6w0hdmWfrPFt7dZ62
N/PcHU5RdNLmWTx/dLnoHgCaR1vGgIyhIqW5U0PCyMQvNc8JCDtORR0/MzxZVpFfLys1sQ+BnYiT
HvIC0ZBYtE2Nu2UASWtzPLGzRuAkcUBiFaw4RaW/+YqMbpAZ5V5GISfA0gf2G1Ca5LcdJNIhPJoh
zLOx09UPuSpb6gRcrU69JoiCo2IHNU5DjWL1rO5wXDIaiDhZUVdTD5tmNpGUs50kn40l1pfFZDab
NLPtRJsNKERvsKLMphSJO4WZGk9KgiAIlc95wVwZ0pWMnSWcjS01DpdgtrpAoESlc6+GbxqHr4co
Se+DFjDlSBZl2+vFcFtX3BK4nQyfpUnipqjVdydk/Z/NNpyEsN3MBhx3tuKUsynHmO05VK6h731Z
dmbzDoj36mzOhp5otvaYs8nHmu0+5mz8URwsQOFsBrJxBUHQmD47fELhbBhqZ+sQDm+PyJA8lUN1
NjAA91qUPAyWfNFm45GGA4kWa/dHeeK/Vvlfa1n/oULyY73WkSb+iZXgrf4Ioz+v8vNX/bbKi1+Y
OtiWipQB4J4q1N99BNgfBW59xzFVahoQS/62zGu/wIxlRXYxGbAC2+bvq7z6i4FsgnoiXNZlCyOk
+1dsBLBF/jBUdzRMDLN0Q3gFU8LXNvDTUL010x5nHNBCqzWiFWcTjGNeiMWps0s+MPpGD7g4sXa5
hLStRUeSQyP+m4cMPxz7ddSak6mm9+pM0m+E7W4w3dBXzMXeDpJXQnIVRBETiDKReWdD3PKTdu9P
sJegZtvpmpTdJ3lVop+pcTJtGW5YANKlOufzcyzWAk+/l1mV9KKxPwOhak+m0q++ShvciVxE4vY7
4oBEfq5j7lBJLmEWSpImKVCsxdTwwTUDsaVUolkzu+bQpPXH8H+zd17ZcWPplp5KTwC5YM6BeQ3v
GfTmBYuURHjgwJs59Sh6Yv2BlVVSZtXN29Wvtx7EJZGiIhRE4Pxm729rKJRkzQxq0v8DyfkPJGdR
Of8zIDlt0T92objY8ypCY+d4sTdtW/bXTEGn1IgK2MXz7kIPUWFqvumfJdMRZ95wOBRbNNZ1t9dC
GrkWYwwUs3LfKThZOcBT7MFyW+QB87V5gzKxSnHnnYozb1ca1iy4f+/cee8Cfw2M/ryLGeetTMZ6
BgTqNZg+VB0Zu0HXrq3ZDpeg9ieCXYnMGeN4J0P2sQn2oXUV5igIs2svuh7ot3PScIEQ9Zp92oQB
gRNLP0OiRWFn9fD4Te+utmBaZh8oKjdFP8VXzO9MWLpH8MTf3aYAlFmlD5qFGW0oreowBjRco9Jg
hs0GYSY7BPlMP2DtswtV9qkFB7NJMgBuWfYuCeqcfC8/4+E4demoDrPq0umqbbAxm6bZo2K/eBUV
HC6qfehE5YVT395XdUees0V/6gO9M3dB5n3yXKdVoooHADtMARGMIM4pjhTCzsoR2jgPCFdpgMOQ
XLzUNWe/GvlTGHDNpF/mWVgsAI0823F0BawHVM9oWqgnTrua7B6Ijzlmt55kIGbMcaqDe1v20zbs
anakRfXQO9g9KD9YfJxDm6Tjxo+7dVr3z7XGMsxujYWbEhNoOOT7uaq9AvmuT7bomDL59jMFKH/J
f+i1qtwGChOUJp/c0ca17jKrJtCRS2qS6cGKk5j8RgCHjBez0f1C/EcrzY7l/4c9439kk4pgEdvC
Xwo8rhHFC2TY918LmH9838/6xaXN1A3aSU9Iy6AX/WnSALrr0aHOO3k0ID9NGhQpc+A2BYyB3NqV
RAP/bFP135BIUr6g/3BwKiCjlP9OBUPP/IcKhkZV6K6lYxZxTOG4nvunRrWDq+tHfaOvBgCpITK1
d5ExH8861Z9sgk1vQMXWE6x6yMD9C+sKMuDRa721RvmJ72561xr9mKDXp4MZgV4T7+kClD4xFUoO
jL5cdjRiQ9Z38Mjub88awDymk4LDaBEhpWPm20cJy/BaNbSAVII2XAYXBXQBRLGV40MFVmklo5xZ
fOxle8Nwsg38t+h9HhbpDIElAXiH0IKYBkYlW4ZGzjhKlfeBFnb8W1V2KPCDMmo96ky8cZKeLEVA
bjZ4r8KCcx4XVXdkxvymgbXfWr08NzzkUmftDO6jtHaGWezTHEpkbA/FUfj9YbLZimNyrBJJTgxB
eQ0C69gjBwHALzdovPd6xhu6bED+SRNIrEu6CdM997YexXhbi3Q1igKuPOrz5UiydcL/zIscbgWl
vWIrsqNOZEOV9PB1vQRPbNuuuSKIQYr8LUnJ8QadHkErY3W1O1FvMYFemmKicLTgYyf6QFfWb9rM
Ci7IDutFifB+zXy/hkmcmrdK3plaZ2z80J/zAlhChUN87tKouB+TBomF35X8FzL3BVChu2JkfA3j
9Ji5hOICpejpANuCWXrefJ9ia2GanfbpR8GNYYX+qyQ8LK3aHGakZh0bcUHUMtxDbsMcM3+wNfGu
C8naKSWRejTdbY3F9xFXagCdy4EExj7l0o39Mxkd6jyVDqaEkjUHa92TykGxZ7EriAhrN8CjP2TW
P43xcO0YQGAbEhfXCCbGHwnRDxIqbaDjuyE32zgQBGSwugrvONo+Mr3fGKaVHZniviamAcMe+88W
Bl5+Qlyi7VtAjDvN1vCVlnHB3NDtcesFFdkZf/9dMPfWX5+b2kvblTY7nHmGHFrFSxF/D50qv2td
3brmBIkbk9mRl7Z13KqAkyL0vevF1r6JDO+oW625HawaEhSn7lqWeYFhFIpbryfvEOZhNhZGtcyZ
MOO2rJyHVovwIzqAe23jMCLPuJR6ge/fKk/9cFMURXPqcSrtddfd9lXV7eKJvBQtzPWTirtTUaEI
TsVTUHZinRTwLMJk5kqhwxCuxQ4SsyBWC030rM9NTzurRF/U3nBnuRmUQdxbBIm67cIvs2JX286T
6TRPOpJlVPn0Bk7gEQV8RQ9rMHB/FmR/LMaxikkZRfVYg7pRgs8MA0DllsGK9FK8N8ANXPwEpX8j
sizYOBI69QjO1qMoiizMEnWH4zdIiQnP+2o3JfZ9oqwF5sklAIFsGbtnA/FZkBCFooXDUz3UT0E4
HgudCCA3zgkpVO0PVfUdmqzeXDfJpLOGa4nucktvZ6TiG6jIdMHOUhxsUoMxOVhoVTLN5iKJEPlM
x7IhnXzR101x6DnOFzBCtHWfwyFww+gxiENgHLlLLlFer71m8PYxUXCrqUGXRuZpts49eNadgrE4
koJxGazxETZDcbDnD41nrtjRRceUBnsfT9Y5qKt+I0F7LfQZ1aX67hmCin80AJYumW96BxjmZOs1
QYW1QmKyQnu8iDrvpIEFn9AIkllRFgsTuc/Fsgt5scYP44IVKjr2uRVu2DUj9fasB5yG8dYwwn7r
RD4RlrzcugrFjn9CUihpzWI0cwNpMfF2CjvboiTrcteZ1lPezKAaGlCeDwA9Q4wHnTiddQ2gc1U2
zrOyBqz4wHNOHkqBgEy6St8Jk6CgzDaniw+2dJEakKQHthnCdeRywue9iPT2oo1wmFNtXEVl51wN
87bwaoPpo7ybUm7PY0L8s7AOEHJOInG81ZDjl85tIpaZnFr9uhbuezSyx2VmOJF/zj2ZkSsatRp2
ykiaC2U0+fZ+v7b3Ki7ABGpchdL7jPO63MwgajhoQ4VU2O55qYlEpqfn9mJsyt45BpXxhGQZt1+U
4OimWqyFOE9eXq4Do242xI3cRSgSbtvKB6//KdE9vE0We822I+augZq1yHVz2sJWbR/7al9YevGU
PwX+ZrS30gofcA5snPy5jKkeQwR2WofSrkNyJ020d9WswouR4ylkecyYhyuDkm2HYC+elXsTEr7J
QMvnKBJJE+R9Ytb5echPStWW3mtHQshiCgKXxyq1jS7q7mAMxbOXdy+e+VJJ+y4zcvB7QzLxRine
xJB96E51YwIKzRqIOmo0Hoc+fiZ8a2PbfbBygAwmJJdtPEtoMH7wmVucRNvMrd8cBw414i6eVKER
+TWv6vV0T+G6KmzIvaMJLDUzArzVZe0v8h9OxI6014HBCneA7AWwgaUzLLg4SOHpGr23qoJpnA/5
lc0SEgv1Is1HcTLd+tzaDtTIrF20UzPumu4VDMIxs+FNgdI4jUVEoHjkbon5e7CHTEOvaR7jTqsu
gIaSjSa6dknQHCw7Xc9Ak41qlUatWgtBpgjvX+7DtSivDtdmEoFfYtPtLxmMnDhEnsapIHauzM3t
6NbBFrZWsK4Lu1vAnlQnnK2XOrX814aM6QUoheQ1b218+qFPSmgTwg3AY3JGKF/uGfbednaJ/LHT
SGFhZgzdMF/WRAIux4qtc+4Rumu3dwE0xnULaJHE66w+fH3onXYgSnX+cxLY/IAHVqSafKcife+g
EJLXGd43AdXXWFQFC86T0XrnFtuIxZLQDo1zHtk/jCLee7r4RlL6vd91625U+5GQ2OXQTsA/IMgi
Lbe1uoC0SHaIWz+RYkiAnyVviCo6615zr0tUSE0Ha19rbgZVLVHcvxIEnEISJANlGvyL7jD6mkJb
bMjMpjjIFuTyEJ7QXEezezLGnk1tDZbRfwV68ZnKdNr6YF3uKTMZoxcN2/1YnVuRqv8Mcf/X/5PM
/fchLput/3qIe37P3z/+z//+tQn6+W1/74I8fF3s1SBCABCdx+j/6IJc47dZXk4EOU2SwdufAe/v
yzq6IEc354WcPY9qyQz7pQsyfkPxTXw7HnXEzPQt/1YTNAf6/kkZzdPCrebNXvW/Kad/GeKOfWax
ZkmMVZPIC8bsh4ck1UiYwxKL5/hbbUbXX16jf6FXx6z26yPSdHGPlwaBrYKRijDnvvBXLXan0iET
aQUOHFLICLHS0veWFgBADVekI2F5GvcGZC9kVPu6GvaScVE6PoUkrRUhJbm9iuTK0zGI0D4Fwbir
VHabIQJ1xgbrmXUTcsMvSETR4MMU0TuATfLm0mXfN8sBkXSV5JsQs1JuqFWDfE7o5Qpw3k2PU7cK
rU0HfGiIzI0UamsANIE5BzbsBA53ZbifGDuXKueXDoXEDtBXNnDo/hbVSOLaIed0QKEBQOkj4JhN
UxNzbrTua2uJeHL1168lE/8/v5i8gMLFZci+x6Q//FMHG9iVMqNMYjttiLd2RemdUf6bE7i3Oeo+
rI+9F6BcRdKwZC9LUVGZzQWlbHNBN/IRheOj3phqn84LOrfayI7SfGJ9C5MbosvXh0HzHiNf/1EV
AwnWs+tML4b0Lg+3X38o6qbEiw0gv80hMufyh4b8fQsvNd2hIf3WNkN0qf/xQdKRXHxTxuc2eEiz
/PevfX3659/Sg/xGVrW5/9tfB255zAzSYGNNaYeO1DRUrWa/SF01LlHoYRRPq9PQi+qUDOQYq9lH
zAUvFlOXHNPGGpaJRyYQAZ0LIrm1laSEWVjeTapDyCZhYBYy4g4IGw8iS/igwJnKkGs0MNKj3WZo
84sWTBJmp3pAvlEozGqkmtqB/SP2ip2VF+jjZHLjT2m86i9eB+XesLZ5KzaOUR5dm2IDVXO6FFaH
PS4iWNqKUXO4P4gPrtlcaGSjubT5nr0ukyI4Zqb4SHMn2JaAHelg0YDFrdT3fgn3t7AI5fPtb6FJ
5JZlX5krHHQjX5Drg5Rx7hoJOEnjV41zHFna2XHA+VvegynkGtvlPrXTVxENq6YJbmwU6WVgXXU5
fvpau/bg5MuIA8a0vzmgDYY2ITFB3+I8X86/WHQ+DOihi9K4m3Rx5YW8+pYJpVLbDPUzOgNOdXMd
TOxEe++bMzssIqLTG2OHfE+4KABgSubkVQWg29hMHxjsbvGhK3gCjvCeeiHvGt88hra8mpX9YBbm
A/p31IHiOGn5QQ32Q5Tb13Kw7mrUOCR/LVEivBkp/5HIuktD88FPnYdAfUty56mY+k1BpBnxYRsx
sqmHcZ0n5bkW0Q083B1xx1vRxg/BLMYpz6nJOlY03WZS9DqtiIpFkZhHOUxA3qqzjJ1Nos1kMkHE
yPCea+467UM89dYxMuz3Kge6j7rhLjaq7y6cuTujz99RIWbbKbfcVW81HjW3g3osbJj3GhMsOSTZ
DcEa2z5BmmdD8NpqTjTc+gmMQtdOXRSIFjAH4TzZKnghZbCkwaqnbmMppg5T/y4L50p6zloq+8Eq
ulUShDcBwIlJeTuZizsVOvgpqhuix6eEjI7QEps8LdGCrZ1ilVQ/pil/Z8PF26W1rypUh0Q1t71n
7+crqnDFsZIYL5IJFXUMzK2z4X2xP8vWKgfYXcO23U2x95aayDRQQY/raBjrHZX/e64mSa2ubYRV
NwfehOs+U7CMWrnQnC54a4Oe6X4jjqXibew2pbaALBysIq159RM/2dGgbIe4e6RPS27aQKHRJTe0
n8vCifrQnAtFcy4Z5Vw8Zl0enybba/BWuMmrGqA66SrVXgOqXG0uQJu5FDXYSKxHe4YT6wwfKFQp
WUXyFKvuJCUXlFsmCkrXtHLbuLoidOj3PTj6hfTIpOnmgtigMramiho5kLzNurlwTuYSuqGWduai
mnnEAyRQyuwa4FAEQ8Fn/JUBF2+7124uzAsq9G4u1S1q9mwu3l2qeIdqXsx9/Fzes3P0+HnOJf9c
/IdzGyDnhoBVB9qXuUkoflhfLcPcPExzG6HmhsKhsyjpMIa51YCCry1Sug/Gse4mpx8Rc2PC4Ayx
Iw3rMp3bFs1SWNh48TM6mpHOpqTDaSnPydqFAUrvU6TqI8qqNz2Gfd/KKllqrnvnmy8+XZNJ91Sz
Pz2kxqBtNFIZof3D569JIGYm5iOBQUsWzaqyGnkZslFCvZF/OLPyDO8qjL5ZjZYjS4s8fBEdia/C
oA6nA0a+BkH1xZv1bCbCNm9WuEmkbuxPiKbg4K10oVY9crgKWVyMPK5DJpcgl8tn3Rz+s2UzK+lM
JHUKaV2CxE549l1IKJSyEJuEcYCVoW5WRBaYbgLQeIL30YaE+mp31qzfI+s13kgkfcms7WtnlV82
6/2iWfkHwRudUcPkUKFDPyIQOXsht1NaA33XexxHQSDjxaQ3JN8g/1kiSGHEOisPvSr//QM2hXBb
z7rEtkcVTOYcSX62Y8OiUTQqce0SWj1jAYV4stL01rJuzYKlexZFn1ZICGFdsmnzeLsvOo3LA7fh
g+/zTZNcdyhtJ480FHINh3WnZdjm+UzDTVSEH6lLMHtMvoE2qnc745bh8CQsRLtNXL1oHvpfESYe
SfDo8yeScjRd7MMsIFZiGL1lzevGM4yXQcL7BqY14ROjJKJF6M+FSGuksWxtspS332TqZytKE0xn
xl2Z6p8ximJPizZeLh5VYN7WHRzuKgK4B9cLx3493RDARhac6N+RPPjk2dr3YZsEONYBMBL14pAb
Uzc7vzX5peyD26fmtlXtEaOzdVTUBphZUuZDg5ayPXK3kx0wJSlz6GJ9gWFthKjJJJISFIu0xT+7
bvKtnpIeFeZmsLWaemEPYAV5GLj9ddqvSN7+5mnxx9fLnyKBI1a8O4wDSmK/Go/SRZfFckCiZ113
rbQZ9o/rbCr8g94chFnkVFrtUsRkLQwBSUNtlx2m4lg3tbUv0uBcd/PCkZS2S1hjh4jnSxM0Qe3G
+0KaxIbGw6aC9Auet6wOksOVoOVdkacpFWncr4r4m25oxaZOyZhsBwCdITTzOnubJjLRdXI2N00Y
PJXx0JH1JRjGG6290sfydTKZ6RigiAlDyU+yS5dD3/v7sq3DhT4UgEulubJgLgmBdzGy8B52UNLT
VvVEJw3rgTQ54g2mjU2qJndpxFqd3S4zbbySSUXoaux8FKLnYfFOLKaRb3PFyHOyP7oIKHGVCQr9
qn/URTpuJcr/wCMToWnNVWyV9864baN8JHBIfUakvh2ZVcE94qqUQ10d/SK6rTPDvVTZN00YzmVp
ELGzBBxbrQeVQLbICeDhhnNgFwpLpYEP44wIx0uaHsMUzbYb+HxcaWBd2FUyUn8SitE4ab+pCnaV
tuk7sieLgDk/YBCEzQiyiDy05s3zQK6kAkJjqHzcepn7Mbrg9brK9TbDawq1bBkZGukqHYKyHHBl
rxuA7XAneCOKGRk+h/3o7khPPACVIhGs7JNNkRMVB1FQZdqwBJFtgEhl4pel+srEdNtoxm2vczjD
juJdweWZoqZ357GGDmhhjHhpDSX7Y0nYCoh1ih8vJpEknJBBJ4FH1BBB2V8/hsGvmAMazUrn/7AI
kxZf0BDtuvDslGm6DIfwWo1TcCly/8k1WrAEor0Evra0iUk5EskUr8gYkdsG9Gelt+m2k+1z0Nx2
TaKRUoHSuyaAZ+vOwbQG0XwbpqsPoiWQpm/NTRo50TUjn1drLBYHWg5iJP/0cq+4RHN6vKwRCuhQ
QddGLm+9kPdUZj0FVe4D0grfdWSVq7aPImrA8aBxc11BCjilQfHWEKQD6eQ1ULgcNJugp56wcQ3D
21JLSKMfuLnZMA6xQgWfYcMQ1B7iT83CApZ79e1UfG8GLtWs811mvc4DsUQpQYTJZz2DrUPO/ZLM
2QIT8lLGvJgDfhTZE3ghe3wwVDMAtqSJhICv2UTwLes233Jfn7qJ9T+fLFhNraRl7xmh70SIMTRJ
0miru/Z9YQWYNLTKXUXN2pvECL+IAsyi/2Lr3xPNrRN5QQ6ka2PNznS56kpFLY9n25nwlNmJ8Z3k
YFb4eC18b+vnpGxN2NcYKtsfhcPdKNDt763p7/SIi5GIvnXbttmuKcltxFrzGibIQd2c7yc7faGC
KFuDo8MdO1RH3VdyMYXZoXZS+34SHGiALiCgAh0Ls7Xhh0f2w+aFFUPFPFQ01E9RsXMIm1l6DXEK
AfcHdpBgLmFQnjKfR+ENBSgtrVEgDPVaQ1tb6oTE5TVcyrHiKcbhczx3GbhEeFXiZOROrTmrxyTT
ITn2I+0Kl+7XNUwAfaX8d1XzczCZ9S3S4l621jDHIHeELIEvjT6jll+VK8mvUPciuNOkGgGK5uum
FdpipIZaVJXE6p7x8y+YwAsFQNIfOn3RjCRjDv1zNEEZhkj3OdTJ59ePeCy4w8mseg/7bm2wyGA5
kb0x/I83jXtK3Y6H9t6pH4lf861zVwUvicVtxrB9rjScrhVZqXnMBsMiLzlxcmbxnN1qHBMmmc4s
jqsPXT5+JKVmLkwPzmiXls5Kq5qKAlKeDb+wVmU2kE3m3DaWH5yRvS5G4V9E4kXbLEWhXGk/UtXe
V35DCFDRE/mTQREutTlWFJfUInY8dChA1syu2LbrzqPJnVJZrXOpbaT3gcaQpcic1Jxk8ptrOG+x
UdTrQurfFWs7dLiCtZw5xkSvkBztT7cA7IhNDjGkedm9R3fkN/esA241rQyXVVBDSx3l0dGw34yU
iQ0ngOrWQQHdNLPltzYIPrLEPPUldvjBZYOF88RZKi9wOCYmjJVfNCKXIvnw9Tt4genfZi7/0bX+
d7rWmfwhPAZM//VEdNu+j+/1rwPRf3zTz3koo0vYHe48rsKg8BPdOc9DDcQnrsOVQuyb+1PVqum/
eQZ6drSr4vexJ4Owv7sXrN+4h6AiYQzGUNFgNvrvqEL+ybyAbtZyuFm7AoUtCpU/jifLNC+yvgKa
MYX5VeL/X2pCfxpdkzuAG37C+ylx21KSTxP7119erX8xGzX+KKmdBSk8uGtinkD9IgGI/vHBHVAR
sjd58EpnWiPd+9rFEchgtCmz70z6vk8pRjdk6wuSPp+MYnzyBrmEpHz+6ydiznPDn2PhryfiMZ11
LYsbtMP45I9PhJtKE3YlOSEiweepTQqpSL0G0nVy4+e5kIHtcMpZljSRepvq7LNBTDJa7TYUnK2D
yQdftecqmWMmGrlNTCqy6PLXz1L+8/TTQsuMuohR+ExB+dOztLUx6b15TEdAAKlHF70gPx5f+nUa
0+9xZn4nGGyb62SLTMK6bWEib8aBGz/m2WPpzJny0y624ZSVIEO7CdIhbberT4rYzP7U187MMVbL
lLzMIwcnIhjNOtva8D3AZeaFwbFKXhSkiKZyCGUlIDjhWICEwZk9XCcZ77WAXOrEtpeYDkhP8TQq
3tT6BpCcfTzpHYt8gMkFurGV+N/E2rXiacN2XiidJWFj3+KQvyZJztJe0VcHWrlDMvLw1y/jv5BB
cbV5LMxnMZbliD9ddQURKkxubHfV+oSnVNYlmzgreqO6H4dg08gQwQMOTkYpZiF3f/3gNgr3P11p
bB+Ey7pjpuzYf14HGJYLg2NynBWpM5CgSGPK23WisjcJR4Tz/JGV271us30sa3vPQRZsosb8NBQL
NJdMnz1EONzB7j4ubX3f8NbQYl/uBM0Zk06tJtoVjwhJpIZXrPQCqQOag6WSprN44Z14iUs8rHmu
1ipKml3nmUdfa9aEGlldg89E7bXGcHdxO97YZ60SS3c0m7WbonIKcUpT8dUjQkc85iZeSM0DnTWO
/gn528ZQgQ6qhUwZjTjmTg35MiCwmnmbvhhaBsjVJG4HN3ljU8lJ5li3jVkuiKF9FKJ8yLGksmL2
D3/9epvyn25wEk4Cow3ohFCW5J/fNHVtN0GoQKF4YfNS1hlDfifZ6bq/MTT4vGUqb5sm5AUuPief
d00efpa6vFZO2a/HuXLOSG3WRD3XDzic0fEc7J6TN6/HbeS6z6YTw8pXib+SjOzXWdO9Z9P4mAc1
cdipuksDKJu+Fq7rEne7w1uvL/LvlQYgJrPqBWDRD34KCyV8Bp0V8QcZzCKDoEsGTsXdFH/lLVMd
WfbZ8Goyk/JTpICZlc4+q9J1mz2V/Q1pj997Sa1mtKuWEAZ4bWcXdEJiFVfPyI8O4NbYAggIGPYh
Bgbr+qz/cXhlYUDC3PiUx+5D1RrQY3XkydpyJDpsauuzCm9DPzhkYFi02N6XgJCCKP0govKlyj8c
W1ubbXggy7IMh40yULWhQiLHodGZRlcgHFSNa5clswbjvv5WgBXB83xUU/wZ6Vi9I7HzK8bA06i9
jyJdm0AW+k7dK0VlCW0HKbCzT/zqxe6zWeVULrQiudhZ/oYyKlnHKSObkgC+RaurRzV2t8QcmGtr
JNtp8JMFQ3R0drjLSA8DXYoJOTnVg45NA3Ff1z4D44mWamI0nUp7gbgpWuqaymFMCCZ26kfdVKQH
+em47BmMLoqxevFEoTYTL5NL8gLCBPPqTPSjRLLvQ92PFwV7HLLOrINMBWg8ZN60DOW2MaZxi/zh
IyJgD20vp0ycIDEgPAMUwUobo3QFwYSyW74F/WurcNfjlqXrHfW1YeDinQwXKV5O98xLPSIMzkzn
vkeI2EfOfLEgW249xtOERtNQoMieHe65DeuJ23CrTXuR0xJU/Zxt4MdPlcO5G+v6nsNmm7t2xNAI
bQMbpvcKdrMF0UT3/XVEpgyz73RFcuwN/nCUyZ52THw5IGU3zEWkHlxnLv6LSHEB5CvsyTfMQ5Kd
xV4GisnQRau0CVtAYTNyH2VaIvhm2RGb4trmbZRbyVLk/n0sM29jIcscxuRp8PV9lyBH7ApZ483+
0VmlRHIDNKunwSiDkyC7lAUu2zuipupu2jcJmVBDlxebNBjcYsEmYkZB4s43U+MjHQ0WPWZK+OOP
2EW5aiuuESdvXrrQB98R7LXkws0NhFGWnXBz7v2eoJI6K7+o+HrZMqm2/XgVtOwheCdBC3gRfRlv
fWv/1/esrzPgD9UI+2LbpTbUXZjvIFD/WI2AWcDHY2ceE6BhpRgPuqJ/6y02JjJ7S8L8ROo9k+h6
DS2qD7mZNoH+39ZmaI//fFRJelROK8swmOhZM33u1801G/7MHHk3r7AbMutnxzAV3cZNNIZlqTIe
/Y7V4GCy/apnoLPmG87G67GvBpjsH4ryx9A2apfnWL8ZKEcPhq3l13zyt19/qr/A01l7R9xLdimY
pj7Y806kYce0+fqibwNmKzN8sl/fgO7aua8evn6flCVTcrTEG8tDQ1lbzDUnpyhuvz6EqRKcT7qx
/Ppj2mVqO7ggQiOJxIegsnhxbmr0htMSvPcIiCWlmrUy2nVLu2+6qVzUeu+Q6jwO2yklVgQBmv4w
JYmxZPWQHxvu0UsdOMjJCrtwpTeRfgS1oqeA60OCzdAsNnvTN6ODNCFWFJlHPdnBJojzqjuQSRzd
NhnXkKgSse8Zpa/GRMd6Zfrt2hoqbZfP++lguik6jsjeb53zOKiGn/sUw8ao8PqK+EWaMH3qPKwJ
j3HILocMf19EVbAio7zb+jNlsmit01C/QGxOEVKToKMgD2n9iDLAvSs9hIrt6Fzyyc7JQ0l95g+5
cwlBrS/bYsg2vt+bLPFaw9lrrBq9+as5JxDa7SAkbFvVbHBKAnVSWzv4PqaKac73EL1RX4opfx3t
SFKA6N+iump3LklmCy+Pmi2paky6q+FGUkhKjxlhrej7Hbtvl1IwltPjG6eWkiWx952B0qfjlQd3
HNcyp1Zp3WLF2TiRmkxUiGiqTesx30g7GHvl1K+HwAduV9iLCPdKP/kPnapx64qjK9xxwy2U4EBy
Li3jaarq+8lCcWlN46ZnFbnVJ/fdzIOl44j3iOUfCTTJoe2SDh+PBhdiqjZNcBuIcNq1Wuyu45lA
NQE00oFFsGr7lpXDYZBpw8+2UUQyRdqKgUDhEOfhW0jSidQOl6wCWZtX/X0P0soeo2RpAwrGX80s
uGcQYdX3JoEBaCaXflKz3y+BjFiWb9yZjZvjJwbq2vHjJTtlQSiAA2sh0TeZEleps2qo4hsEXSQ/
mi7/ngkyYVoBQdLQxLps85x9EWsPFRi+ZW7hEcozBmEachGkWwRwKY2R0pAQtd6/m9mwb1z5zmpT
LhMdEJcHKDUkMBAjWIbSXiD2mhrkeB428kgrLJaL5BxkLQsUo7cP+N2rk1VyoDBOWhW6/cPs4wid
CHs7CidSQYf6IelZkbUxYdvgaIqeb/U7sfAzN2DSjUq94FUKwu++xXo59QSIMC6kiJAV5dhoU2s2
TMPRaJtj20SvpAw+T317HRpmQEpwHmq4G77Ckx7bi3T0Q4U5SXdqYDz2eYjwCaHOfynjCiRWWzO3
YTppZcF9LrsPP7Sn3WS0B5Ow6J2q8/e5DODKXY5JsZ0ZaALYV+IG5oo13T2mhA2xkFu/ZclTKt3b
sWReommOeECAFSTTr5zWDLdtqB7h198kWcBorGT/SNxhcFs61SbgzUfH2RBxhtnTjYlwQex/bbr4
jlxTRo5Z/+LqFaLcOQOrn1OuW475sVxi/U/WWT0jtj7ZgCok8Uzuy2mluvoJ5jwB5jp8qdQuDqJi
l2Ip51bPTXS/sTyhtrhoZfQpRQG4fhj5bhtdZo0CX7YvA1P7+8lsSTVyxDfSUhHKx0LtE7jYC7sD
UI9abzyw1XwOirg4tPp0Zl615z5tLDWSZ7agXvqF3hvmLtKb701aIanIy4ChfMQVZsC2G6x1A1KA
sFoWAilnuSnYztdRdE4c+qUkSaAwWQzmAWquKrdxFnETftRDWyMnIBdAi5GHpGVqH+pGFiwEWlce
cnpfNonzZ7++VDTaa2mTY2S5BKEydENsEjrWxsvST7TX1oEkt83oWfES2fy2ZQyynXWRLbqB/8ve
eTU3jqRZ+xehAybhbgl6UhTlVbpByBU8Et79+n1Ssz0TvS6iY682vu+moqdqSiWRROZrznlOrfX2
Pkw9JDcFq0ePF2NIqtMcm9sF7Usip9PwHBpFzmowuSVqTdsQcLVPpPXtg1xglxfYDpDLPKNFqkoq
IhelTUradj6SNLkIShbPevGcGKnrjzwH881+rM2D8G/BKJBAQqmzRpiKKD2voGnPRmB5hHXnQqw6
vWNT24UAirQebZDv1ue6t9ZI2x9EXxFpnQ/hsYxjkgQVf7oU9Fqdkinpg+UfgBXcQHtOLj+/FP/8
r5//mbjfieM755/fFmNaUXGov5kt7TcBntpuSLxqF6XGZwwy5pgRa9yheb2VCuBtardzZ4s7zUNJ
5fRNvcm74bvT40c9tJHnt4XubIZCzw519jbRkv8KYcLvMR++ESDwwZS0uwgSbBByT6i6QMtmeCag
Fjhuz4ku8FjrS+TfhLleBlINQH8gE+bPfDQz04a3lF9qNTS1vMVFTwsoiCEFqZqOdR6YsSIi/2xQ
H62NF+CkWxpah7WN96ln441p1NRfyRIHU9Q9cA1pDZJ5O3vAQH4whgpALIPegoFvDImKTykzYL/h
Pk34ZK9k5CSbtgzfcibGScSi2lwWxAwGpcAcbnvG15tRzZl7OJwlm1emz2jbt66aR88jdTWZhslq
xk6wQqnTbIasfSiH321aFGtbTbYZMF5qb14BUYxuKs2/axiCa0NKwAdj8SWpaXETDaOVmpm3W7R8
h1A37yZqXifxN0RMV9uWlDLyd4zAHdwaOIN7pwZAWs1eWGj6VowL3wIMq7PtKJ9nzvfPvV72o39G
Z0IORZ6sbX9IyWMG1Qe5rJiWZ4yOBL8gJMAttmS3eIRWXo2CZcnWPi31DR3nyXdGQmv51K6aO2u2
WVD6+hPQU4A8PW+STGFnWbX32Ne0iLHBZr+Rxp0vQ4K9bB7MnhdJzd5G23sE2ZYEo28//vy2nZd7
ldpFljFSAfdgklrbSqQhRl6/FvSTPatXPYrY66RkeHQ8fK3X4poN2eo70oQxSU11hI/+5Thot6pG
vEKGWrMAfoMxr31wUlusEBj/kdM1sEIYa3HnWeIpc8KHouUbr2v7khJ1jDZfJ621O+rVYF8Y9DOR
m1lpB0NYK7ou9b2TGi8hE1dXr6Yra5ht6s44rW5ZKGVStkE1NKQVPDv1dCNKBVh03oTWvw22C/hQ
PEr2U5XuHYwSMUc3wftUix5jsO4YFD0mjXyfF+33jErOqiwEHtRpY5Fderv4ldMPbkoNrIvwkkC4
qLxJRtuVs/NYugUxzO5hGNwXcswQgOUCkYRe3lplK24tibjJahx5Zd1E2jFAZVfY/X4mt64dsock
qV4z37iLCMU77BvRjoArZ3PDvKW23buFmnNlDXwr2HWB0Dv2nedOXErzxcr4jEz64sAOJF8uIs/u
3WweVJpK5I3aVUvnr7Imy7bsTQwiFtKJWISPsHLXLmzog92nLFLl2USqzoBgJzPxaxDhs1k3Fssm
g0eVDBSKirMTt7jH9FaH81U9Wzo4r5wPrMiipzZqXpPEvCuqWds4eqbiIhYa59kKdAYnd370zdwf
aiMPtlCEvHKZihefAPPASqky/Vpc6kSaG3LVmwtUnQiFHRse3b24mRZtizkrj9pgnm3rkrpUb1Hf
hncRj3RQO3Xz4bfzujeEc1u4zWtZTs9W290SGkt8nch+JxXbWqsynpvU4zJB66iP/HBh7O8qYVzs
GR5Q7nnFbcSTR77zGaNPtDPYG4bIep7HsrthAcu4Nyb0LjKscid9Y1eXdrgxbefVlenvynJPc2jm
5FXA7HOVImaeOpQi/mXOmZN0PFlpOlz7KH2g4OVMiCnRxTHHqG0nA72qPYI1cl9RWBxLZQhfQmpb
NystFAFLSGtUtid9trS97zT7xlMS1o4CyTFSYo7SIejn+H4eER7QpHzJ6eCnhhkshRttB7chNKpI
4HxGa+iO70vin0ULOcguzsgXHLjLtFd6TmxYp09b9ekaE6ZtHojZLfl6rynA6s4lCsHb5V362lDW
AlhFK8VuAZ3A4wBKL7TcQ9MlX72d3oZETjoVahQWepbS77WxHu0K3c2uvofl1F9D5f9V2RUpihyA
WciHy0s/4D6tuRwPBhLpJgqfjYjIobhoADcO0alv+LBRqV0Xb7oZOnHnCyYwsjeG7RxOh76Jd7Ki
HG7sXmLqR5lTWjJIZPYbr8uwGqh+YyhOgXTDIyTOK+kIPbGRq4aQ7cFiy+2Zq3FOv8IRfDnBTysM
VF9cjEHfI1uKfV4ietjNUlFaNt5BghCVBXGuLiXPSgr05KCnKOtVFrHVFBTInbXO7QqYtPsaVmYU
cEZaVC3zY2h/uYP/6RMMv4pHNAUMGbER1Sd12WhdDl2K+FSAJatJlA+i5bmvIg72is9B4p0IizhG
RG+i9Us/Kt58lAvtDvT92emWZz9Jvsj1PDOOXScGYJ85zANOSJbm0/QY1/k242O0YiyNClbc5Vl5
nvT5ue8OIwJHxytAs5zzqtx3Mn9zrOjLSIp1Z0eYb5vXiLzQ2b9rkVcwEOp1FurWYGj7GFOrmkej
dnlAT65umqNZJFSstvp8aShZS9M7px1tvYYENCUNAkUfN+lSteZq6KwvI81KtFpwNt0wVQQC/nTe
enV0q7Ya1kD7XkuCdu1066cun05lGXNoFli2b5hH1HSCaAF4kfdA3lmM8b6Wab3WSLKEVMsD7xUg
KOWA/EFkzmdnnchIBTea9bs0pLicFy5HOyk+xGZW0clDnHx5RPnOXkH/xEceUVisuigUKngO2kpj
elyPULzZY405j8I0HJeWy0dtDZCruyswiWtLI6jZKX+xmMDX59Kbpi2h8/AhVtnMlrBOCwbCpnrN
ovTDV2kibb2J5awI0PyD0KSYZ5es0KIyfZuL6kExM4cqfpRUxWU8P4f4gJZUv7RKMtlc49hgWgPt
b+DkXlU5YT2J05wcPb1oyy0A8meNuUMwJx/GyEakNPh8RCbJLtaZUAUEzvWjtTDh7H2+hhozN41x
59jZ2ekB3tsFn7SUXsw9IK04Vh0/fMdAo/O1Y+pZ+8mL0kDvxn0NW630FhRrNvl3Dcp8EzKGnN7t
iVEFac+x/2RrfriKTRaIna8/O3MO7SoZkCmNTFM4we1vYfZ7q5JXW/Q3bs56tWIAi0z9Vgr3lSUy
33rEk1Aa+9iPM1SE8ReKEUKCuDC1sa0pHcAP1UxizdyGI90Uzz5U3YxrfUc4vR8IREoYupsnxy3u
qjizGE7nZz1hFJoL58wMO2LfVaTLbXykWIAyz0FQ+Sh9Mpv9gnbEkfywSHmFdTmu0UrtYjm+TBVG
ft+Jt57fQgfWkg9n9l6gDWmMbSsEi7GrxKq4xDubsYTWdZumtV8kdt1V7M5YbaP0axY1oMU4OWpL
9OD9PFV506FPyV/DNjn3hA66M5Tnft5JHVEXqvyLRfiybbRbF+NBPYU4tq35tdEwVfbLwuePCdVU
FSX+mLNtaMXObnkNyvp2KLrkEEv/2+U06awMWRd0j5AdTV6P/Tqvk/dq8g49Q2EQK8xgFhRG3E8m
06Uy2piZR+gzu9ggZh5oDtwgZXUtDW2CJ1oD+DA4QxcA+hG3UmEmMao1MPysOb/Qnh942adNGY0v
2USVihcxW9Xo8G7ZxfGE7wZdXses9mHsFxv28/f14COGD9FB2ZSrOXco8691xVoG8/Wu7rX2RDvF
LUueNdeTV71NrvaLpBx/V8/jafb6jH2BIDwoYdBAqu9Kj8VNRTNJyYND0apDzoC4oFDM32onJjHR
3TgOdU1adkVQJvLZyC3E4zjtZ3C8q7FnX4u20N5Pi2wOgx9umpFDyB8hjht6ffjRvrY5HFhdoliU
aY/R91oJmvqKHUjgFAvFCn0+SBZHsk/JJxmuTU/uvcxAacRjn8nkd6Flt2U2vDOo25UaQmQnphLO
ipSU0CXZJMDEsY4qsby/i/VkUuVRtc06TFPV00SLzP8XzVKVZptXOxHEc8Cpqsb0d+/Pz53Fntm/
9QydBIWBJbSR7idML6apxWhcy3WfDY/RdM7K0xhzPjaUouUCLFh4mMGzxA1c6zfqcijNe1ESd42m
bnAAyMTXaaxZTjCHZ10ccgpjxQWnXtHg4bRBjOQtHvTjiXMgas4diZ6NBZhfimOZaVu3/3I8ciI8
E6Sx+EUKXi+rl7q/zx2Sn3quyXlT44c0h7Uxa7dFZb8PHBuh8DfWkhzrHutn3/7CLhYB6TD0k2yT
C73cJTfQEY5B1bU3gzS2WDBSurgYc72zrMSEbKmnrIuvNU1mbWSHHMJ9hnvHjKfAld51gn+80klb
Wg2oGj3nMZqLl2Wgx2GedTEEr6/La6ov3aF1yvs4RC5hRFz6Ztj9Hs1pZznIlKaaYZ4bXjVRvy5I
t4KYOArrJpTRl4vPvAxy1o4NwSliziAIoDa0FrbhUYsN+1LP2XnyhhsN+1UvqodWo9YNPbGzKRrj
LL0vX8mkODRDE+ho29zWuCPra0NW6QMemvu2vJl4N4h4juO9jn+ljuC2jwCXJhM2sJSr7tPyolPc
sAzn6uq76CsCAVGEC7zyHM5G0n5weUSoebVN5Jh7YMcvcchRo87GxJOv6qkEaEBwzDvG3ytX4kUt
jDShHT1se2RAvYOVDqowvPSvqrnq6+irIgc1IToDcbpgH5e5VIaxs43i/qbG9m3g38H2FuiMnbBb
rxs2Ilihxd78+V6x6k8+qwD2+7jbqAxID98kqAnrpQWNXQBCn9aogjECRiA6opNmlw9KkuIlxmVR
01RewDzUaL+43dRPVk7+F3S3AHfEOmncreExryrFHnFtv66FVx37jKtMLgxEdG9bjUfZqHF0eGxE
+i6i+pe6GxHwXkZD7EhBIVOOgiZl49yikOWWms8Fd7CjR59OR2ZXWC4R1RAXXl59cy2hcR2QN2rG
rReTBNfpfDXdOWuGBw9Jv+VZvpYmE3gd7W3gLdmR/fWTiInTbKaQj6BZHGbx5i6aeZmLLx8a12HJ
XGiW0if1hRU9uajbnowSdOz2zs3jel20k81gXgv6nIf5Z2v3t4Ry/5uQyL+kTf4fCrj+dw/w/5hw
fSg+3j/65i8ApX/9vT+1cu4fnmGDOUImh7jtRxD3L4ISWEifuR9isL8SIPU/ABk5CvPoAFCydPRr
/y6U0//AKoqGDv0dlGBduH9HJof85y/bUNv2aLahNGFRRrTznyViTuMVozujZI08Oe+5J58IXiyY
pLvaZlB4kEGBQqofZsgsTsNCnEYF2Pak20rQX3JQ9l4rSM9xaIJc55NkIH9f54bcTlh28AGZ5saw
F6ZD8fTtKoRJqWAm9BanBrpJozAn/rTVErNlvYMHpep33dhDZgRzzQwqBRAQk57tVfo6UdtjYbf8
mZXtGl+/SROGZ5ZU3suq3vkRyG4LllBWVVSXNHk10txFwwqWYwLmPE0vSSVeCpkbR0lvVeQ91TJm
v8ExGV2KDsn+Q4TpapMrLFmpfilcKGWcLkJRyyIdflmoSGbC66gaZuhmIZizGNzZpLhnLQC0KALZ
ozkv7g8ZbYKR5gNLMxU1zVf8tNbpGfCwR4OZ8RJrvI6Joq3ZNlWiCCZFYcOi8ZgoLlsDoG0E1MYu
AZcO6LZGMdx0RXNLPLhuHTiiEz8FVKg0ucLyfJGKAhdZ8ODw2yBgUwExJip9Jup2Rxcn157ggOwV
U64GLlfbUOYsw2E7PNSPrSLQxaDorH2kwaUrFaGubdHdKGYd6v76wlTqAFAcIjFgO6uDcBeTZwDv
zhw2ZKOQWwkIT1dEPDqZQAORBwb6ATJeT4lJuJgamkT58p0orp6wEHUp0t7yw9xT9L1IwOHTFZHP
B82HhvtrUay+hNBFxe5DbbItP7AXNK98s/eZYvwlivYXg/1DeQpoAhBgxLDoZIMGhD06HnxggW1c
4sWFHugojmCjiIJEcW1jxRikCpkuxBxfa8UfjJePmq1uEI7NlxH33FqYFV7iqX8E2hte3Yok9kqF
T8UqhmpSIiwVTOWoiCp2HdHH3D50C1XzqFKsVMTVoiKu/vXLz+9lOgFYGeO91fSTitWogKxeRWX1
EVWNHXbptZHha1Is3W5auALAsR1bncStn/+yEf4gaHsqDJyUHRfiLmSTt0Mko5I5ZH42ZzE+WlkN
3TmugjDPF0ZOPL5WDwiI+jM7jXP4sjDx2dKQ18c56esj1nsAxXaKQiOptWuedt5Fx9k3wpi/Osay
tlTcGNSNho6tIoQM+ai3mn+CyTpmCbEKK8NAgoPDUQlmoQozQxCjr7TWRcQTofNqVaNB0Xtbw/df
V5Ht0w1hvgJSne9a8T0r/Iw+OQyP4NEkgGkaqykDrTae4cee9Ah4jQ/Fhkt/g0Oe/HQFuNFiUDeJ
gt4IgDA4pQuWefBwbJSD0HFmfTpghGeTiKEfXIKx8hVLpxgXfl4zzYIG0E6niDtpgEr9OCoOj6WI
PAlGnVwxeqaMGSHMHi927iUjPEyC9/PsuNcUusw67b3A6ccLQCGmDHrk4JWYVxNRNjugQfCBFCnI
+mEGKXqQdvBACcHKDs9S0YUqMEON4g0tijyUKgYRuIlk1SsuUQGgqAdUVClikVTsolhRjCYTntGk
yEZKpo1RWFWhinvkAEBCLDTudHrtnQccCY4aNb7iJUGkTk76xZw/TAeaErAq8GaKsDRbsJZCoEsx
8KUu1FvUZ3hn3axpbtm/LqtQhP6xSqDmOtMYnjzTH150XtquGWYEu3CeksW6ybgiD37PedMCg6K6
lUdX/TJa8xP40OrSK3ZUoShSruJJzYosxTDOwTcMbarDFR0q/tTfr2P+nyRB/qMgsf7HQuYs0/+i
iFF/588ixv8Daa8JkNqklvkHq/pfQZ/Co4AQJjRHQU//T/6JZv1hWTZLTECPFEAUBEit/pT7iz/w
1Rlo8ymKqI0ocP5GGDaL8b+UMSjdbQgrQvdNkCvuf9aQl7Y9tPHoMt9oLHvHcZCeZneiODemJ22I
tyn28ScilIRE8DBV5XLQJJlaHgx2hiGPdVxm14q6/mKC28MUrp0Jw0YiQ/nQL0z29dg+prYQR9u7
F2GW3CXYx7b1EC5BnWIuzSbkQ7nWV1evmtahHPLjXPfPXTHfCDh2fRWd+9YltsROs3OFbd72ECtP
acQIYm7GAB07cC/ZZDdxK+5hEaBmaZVWa3FvZaU7W5mGxkVGdUAGQ0R8M91MuoRi47r9kxnN9jVs
tVXUmcYNp3K1mc0GUVc/jMTEPXWYjvYZhr2gDU3tCBwP+Q/KdCKNHoy917EQgBzHBgjq442dO5+m
7HoONe2cxIcqJgBzic76AoqgKyJUP43e3REUjPkLAyqXN7PyMFpuwjRN9lM6ffxEHC4I245thk+2
zu9GwHubqBzPpayHc5roGoQKZEMjy0zltU4KtNQczmY8pid7LLRDydEXMYs6/fySWrwtLZq7nWcj
UBY1IW9h0W/zIi9ffI0hc9/lj15qmnuCjMrnxmteQs3ZE6Mx3UeCuUIFWY7DfD6NAlQAOI59HlfN
FUIASsgpxMXZKCfp2KZv1kdXyvGhSIa3rkVlbix59gh7DN9nVk7rCQ31gczLlzSvuu2CbmGNBzBc
90tjBnhrb/X0qXGUG1EW5iVNw46VrS42DsfcXJcWsyS/OMVlx8olxihuagVexoQddEYX1zNjG7L4
KWuM09QuLnlyUKWcNFrlForrrhbGdktULWYS9LV849/+Ep50vb8liAGZb2YZK1xmrw2ER3pyj0CM
1gNmaS0nE0+r59nrzCJJM7Efl7rBxVq8A+cMspgOM3zPYkVlGOTBsM1HB4sYCVDrkvycLczDADEV
LjU7tzZ2qxJ4uhlzqLvC/ODSvsrE7ldA/ShJMRUqsQOJ5+4pNh33VnNrpUNiWQJi88Nu4eikTkci
ZNcTtJ5SMkx+ZawcLa7PoV+bTOjseT3OerzVLSn499qbNqu8D1maX6kzP7paSTJGGV3FNCP9I2fp
ZdDm7xR36M5brOhQTt5t70fysREGojStuCfGb7piPS2v2A413/rKML7oWpedWlsaT53V7WqTgZZO
jbjVPFAts1O+WY7Lg5R7+Lhl295p2InvTH884oOZn+mDEEUj/zomw77OJhBsY8IbmJevMZv4rnLF
s6wmsc/NeNhwKcb5UzZNaNrGcti4KfUifhTCocy24S3AgoAzd1dnDVuJkZkdD+Svqe72sT0Ai5R5
UFQTsw++MtRF9jRK0lazeJ+Z2jKqWiTtVvaLqNZ6xxn1gn9rPgqXfLthJHwsUh914jw8wic7Jnis
HhDlIb0IZi8c71zonDrL8GBKKG3CTt7m9XKzeCiSjK4SzGjB8C2uz7axW2BJ+O95g+7Ja6xbc2HA
1BMJswebSQXXs1iQSlU38AUET705YfJs6m3YEC3rjHBL3nOtmDayn96LEa5hZSLrTzn3UVJqLJMG
A4+G9En88oYQjgAwhlRwbJrLNe2dG5MNC9O6CZ5AO1/6yD2as73vegscrO9tF/kdGnGNGNK9ndgu
790Cy79Vjb8dPUSqZRPTOjTn0cNxtKg1IM7yJMjm7sG1ERLlrJDKEq5NZ9E9mVa97XVTnQNC7KLr
GI/WBvn43YIFZV0uyNXSmGzdqVtHoGKOnQxvfT3qSJ4sEA0jM2ikA1Y7vjW09Kt0DSxXqRGjv29K
RDS1swOK8ow6osBbw23SRQG5gh/xJZYOtJr6tzn73iZEftjU9AYibrloNrlgKGt0W1IdGpyjhNJ3
Zbn3bJz9BQPSwvkeWVFssoz8NSsFGJ5WgHX5LNtV9OQmbLoyMb+Wlk/Qmg2sPR/TQwxAIaz2CyhQ
Q+3VCo0zJIyqnZsO5d5OWX/6/YtnFXvkOyZA4Lpah5a2HkUSA1zqEXDVNg9jnu5m5nZ1uLzokX6m
QQNnkUb3ad1A1Nrprc8jVyTnxNIe+9z6xbpeD2yUUUmZWRjj3sjIwVARr+kxJnSct1zJZfGsS7T1
CNmSleciayBhUmKirmf/02NJJdpw3SbFq09gDA+X2aOfyceTrMqDpttk2E8c0T1UsCZU4B99IMiC
9S9BEQ70wanqj9NcQzFo9nSfQjP6YBL8y72MNp5b/jb07jnJw5PtV3idPSO8xyxMaC24kzj/rRGF
uBsj8zPyx4/ZuPKYEORXzy0PWb3WPdGciooHOiEHEM5sMNqjvuLsWQKjZFMqRVCM2uco44+ZPebQ
0r9kfN0jrg21YI0tugSwK7gqzP5a1yaxiu62HYlxjbO7LEpu9Lx6ruxibzbutywlawGYMBKlv6zE
OTVCrBh5+Tl450n2JIJiZYFXvEKjvq7n4WHRGUiGnvG7q+TZnVgtNlO6rDkXv3Br8nrb7A+IRCKN
DB38KMzneCR6I1mQLHRw6IUfjCyBtHwh84ejzPHHtUNgDayt7lS14nmsjas0EdZYHjb0qjRXdmMD
DOmG51iL13HuMn6Z/MdBYyu2OOzUlXta1o8GiKKyKW8spwn3oUHGSAGXwA77KzD9fe1ZDCEORSn3
EfVXUVWnbGQPZGZPZVZlaNlXrrSf9bF808a7ZskOHSm8mbRX1kPPUDaX0f0cG6+c+CqGp+ZTDPQJ
OmO8AqpDXCSHN2Qd+7EbVcEIO6Secdm0iX+3wOJc4wAkNrtg8zs0773d8pKk+xavzspyyx2aUoTc
w/jA6fwRJfGTlyNizZL25NlDtfHaSdDOIyiwv6TFw/cOR/NbuG9NmI9nsfDsWXGHouIwjhB3Ogz5
cFPVH4HSE/23w4A+0MfcCiJqykWbwJYDO9Je4ig9umoh7YcFmILYfbZRbN6SCnpluzr0vLOJxPex
aJDHI1CgoGoRhMfQtdO1XwEoZt0udzE6IDTKgUzG5YX3AHEAcLlQI1i1xDugIV2g6Zu9Vcpxy+1N
6tZS0Hs79U50GAMmCd9XQ8U7QiPeO+bENsVAV+u2u8jO5BFdxFa4yrZjcDsN+dZslq/EEV/oFzOM
9VGAEsS4agDs4h6C3wxoMB8S0KIDwb8ySYKphjBNrrNjAG9H7MciYY7WI2KXA1t+zGceSjkv/Gap
8MB07ENvI+xaI2wVWvtct5J13SAUQlui+gPQnYoGZ6/LNnsb/fKt4T00C9DCzOc1vvGwK5/sJR5W
Wc77Yjr6FxIuwkFFf3LnlrTkhWdOWM2aMIp16ZmHPo2ATyjHZenbzywv0Utbw4eJmIaaAMX0qfIR
Wv4mjeGQLGRCD1hk10CsYomUl2mcvqkr8atftNfGQzJW1d0tb0Z2eSDLCpN9xhltV8ZdN0WbQb9J
QvJyZFa9ea5ech5jWRgtu1khi4mhHF6R1Xsbx0CIrZUR5Wle8/EsGSd10UviyGYbQ1jnpO12Gu3F
kTiLGO07pv00lxcn75z/35L/LSwpo/j/3oT/0H/2BVxS+Rcj/j+aeeWc+rMxt/8wLXQljuH45EKR
NfVPMqnr/kEmAtZqC4sonty/kEkdem6yo3TD0B2TuSEu/T87c/0PR7CMYMFgeXTSLCH+Vm9umN5/
9KpiVXUtA4CqyVfE2P8fzPhJ4vfZ5GNvcbP+mLdKbp/q70OjnEN1fmgM7SCEdWPZ6ZsRt8/T0lar
xSsvpW9+sPj7RRhDEMMhkkvOMgA6ZDoZ1ECZUuQ1p9rRsK8pt5ukJR2mvbagEDDcG7CjyhvJhejP
2gqhR9Do7ndZ6RvQO4fWxlzUGdqL15GVDtsuApG9+JvGN6ivtSedfgEhkgF5SeRMiser4/Rni6As
VzFsaPCAfnj9NbPyA8Sz3zmZ0RCpzgQNwItSJVeLj4c7GRXG9AJnhURYY91kbcv8Pbq1YIKNE0N0
Aptnu8ZHXk0bC9HuOFAnj6V+1YXJFDP132d6SbcQv4oBT9KQlofZp5IejU9coCblFqYfEvC80r3z
0mLvFaG+0ZJfqci+Upm8lt6DtbRHKvC3wi9xY1aswnOftb6DbMy1M7xGJGbperOuTPdz7oe9NWbW
mrjBYTsgtMx744EZ4bjxSm4I/TMirusc6axu5pDDLw+M2XktnC7ktPc6VH3mTeIsCFz79DKV7Q1C
VC/oDBIkeaWEH+5yN8QW0N/LhoxbptcQPeXwNVmJfuGT+sIENznqqci32sg608Bg03kp+lmP4rDT
XTDkHJdkeawGDumyrgEruea94zSL0rA+8aDU27aN2Mk4C5MSH39THhUbO2qWDbiy79bqu11GXqBd
PPUGfpfe+NUXy32XOsTw1rxcOjPQCPGwNn/MKWKlqGp9mhnsOXrt0C9vvUXbuTHIZ8Mp1+6EdMDV
sFTLHPsLo14m3CyihulmttD2G8MQ4zpeDUw3qFFg2hqGfWPiJZ67HotpJp8sm9BAU2ZHm1w0N+cT
GibJrumyiwa7EXXaHB4cslyY+AR8Ut+yiYqgNE4NYGHCi/Qi6Do3YusTvU2YoyK57LMm/7A2fazX
q25kThHLEyrdaIuH51MryjU+5lcuwh2cKuZkrg6oWjsMmstA2S+vJt4zSg/jGErnphunXexqQSi6
X1Ue7VSg5dImB4cSGG+UuROepBPDwuVl8P94v7mWGDfrnfHsy4EJr1usaoPJcp1bO9uGpoDflcTa
ohzRQYMN8r/83K63vqO/ed5NXVMldvwQyACczylzAgRg+6Tpxp22cOPOFn9H1NkjsO1Tqxv2Ohp6
VBHOEKESc54s375KXtDQW0hDqRvWI45HFMKURDs/JidZ/5Ce8QsLWrPuzex1JLQ77CePQsoIA97N
rblMX+2IBsHEqEQdVb7VYbZNo7jcN2jbWIIkh8rPkJzWQ7kezfnGt5lnm704jVnWHppZKbgoMHRj
W1IuBqxbwPGQSy5VwaXOiSwnXFnWc5CE02bG9roySOReZ4IQm6Kcjm3TuLuZVPQt/LhkZUMe75kb
wGVr8tfZX+RTZrDBbNvue/RNk52Nl0OcMmEZoSbZpel8RSdJwgZ435U513jOzWq5b6z6JWTrEDQe
2i2XI2SfGrW90cyFXQq0qHFsn+KIfW0UWRuirdWqgVfQMv3omlEmD3MnNxqcUjh7PRnKjvugdf28
YfCx1UWnHzUr3iWtWwHXmtnbahSiqaH1B6AJhyXv77CUL7cGAfeWz+hB68PD3PrhBZTYh96I49wo
4VoK0DERqb0qfCC4SUfH2apjoNmmfvyYJdaXWVbFCsY2mugRm1KXzvRaKPmznhcdiEcKNWRbVuFe
JtaDX5DNILswDGqNSWKBMjxbRLUdM+NID3hwiIoNRDwhYtZfupGQGr2ffOYiuBQSG1BYwyii0XR3
k6V6d0KKZLsdyIC2QABfWMxl0IjE7zPmeHrg0QrcYvlKTdJPZGsKqLrnJKN78OzQQsSBlzUuHRng
d2Yt5IKVsNwQykFcXgq6PNpUug1sQUhCS5CEMwB5v+9h2kXxNmmab8bG+qnvmbmUS84OKbO2tHNN
EHuYXbqFNLaqQhaVbx3PlEGad/uijz9tVeN6qbjvPP1s6VoWUFiMK7ss1nHTcLPwyWXkxaJbivsS
hNg+/sjMNr1IESbryoIXIZmr3pf/xt557MiupEn6XWbPArVYzCa0zojU92yIlNTaSTr59P15dBdu
zaBngNr3Be7ByUh5IoN099/MPpuGvewq7oqxMa977xOulPVUQFTVgyw51qb74xCoaAd30+QEb0qL
U1mfUYRLVqZzehT1CGG5oBaF647zAgje/BzSVbXCJLNpe+9cldAoOvkgE8wtc3RtGEEuXL8Xm7RK
OwDP3gU6OeJa7m+Mxn3vLK7OppLP5XFgmLrMOk6kHi1zG1caK2tia03F5WeW3KkTp7yMzzJw3mN3
+kra2V2ZMdg1SWCV11zwHlvjwc6SH8vL34y0egrLWh20OTu5zOpkB1URx9qvjLwYvXtjp95nbkfP
djBzB9DwEqtp3KwNPy39eIvwCWANh4wY125l1z2g847X3czaOLlMLKpbC1ERmdzb5nOhLave+c1N
l3Ypmbwxzzl0EFjDunojXEnlplb/Afzw2GvTLUerXUQsd7tq9h+dMHnyABNAp5228aS/p9AyFzip
hCO3CHAUIFfxycQ2zRnP+YpGCMIhBVV+fJST/CMr7x0Z+pwx+Vg4WXQRuflTCaZCuoR1SkMTYEWK
2dui2nYyei9qfTzPYXh+9D3vqnF+hdvF0I/oH9Mt3I4EflZDrn81jO033FjhjId0wBCqZJ3s5CIf
qLAvjeqmjUl6Rnkadvk8PkWYpc4Gx3Acgm3IeDMmhVvTGYjLcmfq8x8fFAwcWG6LCYPfyBnh9zZQ
TMD12XLEEZoIIOYzV09pPwdZ8+zwaluEOggJJlPDkpqvmb3ONGNi96UVw8oFsiimTWexXRR0+26n
lwFq4UM8YGuXM962IGfldiEeb5Iq3Q4g+Hd5N6cbWXCfnJyJXIIRoXD3zS12i2pZ2Zjaet/KL53F
YU/Hp0yCchlgB7Arj92mqcyX3PRR5g84OIG2qpemmcYMzWvs5Y3Aoq29BvlPBbVoPcZVhzOyYcfJ
0HuLg3tR6SGuHBuXXEuPDt4KymC0/lQIL1vp7YTlUHd2g8q31AbocbfqGXRp+l9I+NnB1TWG45gc
dDpA/DbZozdt7GBYs4/vzqjkl37MB+CWDMTSRK51v0eNGaWqN6qI+XbG2Y4g93RT+61HyXz1Yszm
dv4d2PZ31vOCNTqssmCwbv4iNyb29REBDvz8Gb4IurZB7itadxM057Cx/6SqTXamL2whto7HGVSF
7MIMbcEctmB841VgVWtLA5yhrwJTJuu2eCr9QRzUiQC5iZQDCBQ70gD9+/qBbry3DAosjHYGV1kV
LhN2R2TLIrg+xXdJOdoWEXodTUmztaa42w6E3oZsPiP8ZNuIw3VSklfNxkxfeexyapf6uIEmkwU8
rXipF0mPuX4xc998qNuNRspaR79I/HNakRKxMrFMSQxM9DuBIdtpGYVPrap+ii3+UT5tUIwjX1yH
bQ1okGjDFAP9JtmaNEg1DlVSSd+/SFUuhV1JMgukcIp5ulQFVJaqooqat87Gw6DZV5uZ+55d/146
4wT5oEmXNbXlzrXOMBwZnT+jpky3wNKHNYginoIShDE1Ws1eM3vnHKWMWUNYjp4GbVUOPIdV1S97
ieE6Z1ZpuMMazGmzxEQjaajiciab5bqAp8P87MMDT3NOYDiCGNi22Q5K+j73WDOlrpSPfgWQAhR3
p59xRlgHS7RnWeL8CUbgz1m6b1B/fEYzi6BLfv00tjetTV0wyi3hVxsqV6KvZz94Fh6pUmfyHwXQ
B5sDRsJ2gSMY1ggt8W8VRucaCiS8Y/+ZkqBrSccpW99w2w3h99T69pIqnC0vj3Yd6ONz3zE7v8ZR
dTDbql37ePLJ3Rh7p36xq+jJDaZ9UXT6xud2vuiNq400sygmrAsd9NBOE1ct95lxs1WdLf8p5HZA
JRiXifrhmcpgH6qNizA4+Gjja6wH9LyX+slp6ysmJ1g8MHTWYZ+BTT0GdQMaKLgMJWfjqbQ/nfoc
6OxmwwFvazR+EUFo+z7cwV2+NPNnQhKRJ1wyuK1YwSUV7G2BZMyi86pnfBOKWPsu2QV0pNFaxsu2
J968sPri+/5W6akGwny6GKZ4chsEjtxKglXHcTIt6nccGfPCdd9lQ0TASfSYXIb/WiSSrTcuvpM5
xOxhB/YNIU03gMH3LBYrp7bZpBdYd8xAXIuGG6IZtz8igNac6T81qtSiZvrGoXdaBFZ/8iv9yxTj
wejhDTlc4zBzOMeMzyCXXzVtolXUiPxlqj7Rlz705ZggaNkou4sP6J+gJ8mRuCKCNlcbUFGCVvob
eZt6SfhyXIig3Pb61COcvAlDYUA4RmDIhTQeqhxyau4cvJErHOz1MqFTz838t9CCQpUjmyxagas+
gb6yIC1xBLtm7LMHj4HYAtR5tGPs0C4YV7igLTDjQvDcOL2+CXwxolytPN9/J7y4LcNxXsFMFStB
Kf39jFeQSWL2fxrGit1Z090sO3yZ6iI8Dy6bhMlDEk/SxthV+VNkKu+9w+y01RDJ69BQCcdiVZk8
k71uf3DVnSvA7uuhQ2FKrY2mgaUa4z+yNUkIWdGL1huE6qyu2zohHkhj+HT1oVvdyeKTzSaFaJ85
b2YS+FiYMV6F3p880MiW6vl6GPE2aEdKyS6MiySDS14stW6vCB0fsDfrMFSohgoXZqL/pAhySznT
SmtMX/konhJyQcifyiiPf4npxLptAta5ojEPaULeo5wOk+vM78p9QFke5XJV8QRuz8W7CJY6z8tD
BzNwTfGcsTTaFsuFG7zNVm8vx3Dp6Wy9QTkWaxjj/Bi8vnBnIeunkL1jfzlVFTm5Fhqtxzqfudo7
dNxgVfUWEs7kLpMI/LCV9udIUPKJhVNulTeVMXhpAQX0z3NfPg6FSQulga4dJ/UuY6FfZc13D6R4
lasoiFsZW1mRupMpZizPkMeO+uNFa2HeJ7NAgXmcbJC7qHoL2cRqRo5MCAJDuvq0NR1xA3FAzWbP
sLfw4ud+Cq5tmtrguClLwU9FvLxdRo5qDIxnFw3vAtHRWOn4/zd2g3cAX99HCFuJiIzz0FQaLDEj
RhvMQ3eDtP4ytNgdyzZfFbG6gIuiOjheg3Vg+vGArNxkGTY7v16bc5Ou9Vh2ZzOs9mnqDLQkhmg4
PPUBAcF+YuteUYFCWdljnqbjQpN8+7gZHlwnfGlMrkvIl/56JGE9hd4vzK9xOZvNMaIyZSUkTseA
FclNEYZis+kXk5Zdjd56oJVl3LjVWzhVLPej/t04HNdbrPKsQuFjRAEJR/l8rxe/fpX+5YRTwMnY
vyalOakQs05QOmJmErn9okLerbpwTdqVaQ/Z/+KxHChH0WIUXlkbE5Nw30BGHLuHaAre+qls2V73
xpoEYbk06/IUCWbekKi9pYsjZCrEA6APktfnIbuwMSECrG/a0D7bydklmMfdxHozaouqk5gDTsKG
f/ytXXPVyO5nIi42xtZKBOFzqJEWTNznmMFN2ojHPC+OdaY9ejkJpY5d10Km2rQoC+MtBRUwsdqC
C3/IuvABG/kzR7KcF2mMygH9rQN1oDSIP97UXLR+YmIKfnfhTeO04K5/TQa51oA6HExvegg1vkMI
Go09kLtNW+gqjCvQxwf3FpUqLYIYvIqpnVhgQVoW+rC6v9+H1dhEMQusdBoAZ3/aguiMsKBVtxIP
NwwS8tTsruco2VVBsNYT/SsIA1g9xRgvDYpHmfaqM7PHXsg82pQ2kX+DIlHIS+g/U4f74LKs7zMG
l0VgbP7H8/dTikRMz0D6/vf/+vguOBQn0PqSL/GvvN7/8vwxZ/9/CwzXj058zP+d7Y9P+1tdgBwE
MJjKyn9KCP/MLvj/MO/lZrSNuQQSLDSJ/+o9U5xfy8MsGLhcSqZhWR6KwD/lBfMfygmI9GBjvkKg
+PcCDMEd1/avVDmHr4b8EcDRdVEXAuUM/Nfqs8aDIVYJdr5hwp4wSL4jmgCWjLNaUjULkY3cQuuu
23TgayxqRTCdvWQ9KyaMYnFwx+wrPrClPpdmx65s9j5IEHMzgTNwNQJiqxicu81k1/PKjtMGOvu+
alv9k/EkoUNcBvbcXZAF2rPRRjpDyCDdcRC0Hx2joKJGTNXFbhKqCfj4wOYGW4Q3MLDYUTJ0Yq2L
acKwh4ciMpKNnkQvRiDNDUGN5qUW8iPGS/Vd1Lhf4pYJzuBdDQnIqfIcRiEWln4q2MHH45+oMyKg
pttPb1YyXEe4gN92JG69D3ytDWJ7C5TJXbvd/G06fbx5B8rm0hVaXWBFoffTk/IZdRmk9IRvSA0B
aW21o5SC5FfVfqdtmcEwsIsd35FoKmEXBIFcBwzZMeeuk3aVOixP8XzVC5LLkSHyZWbI/lq01Djr
IQkCwBE0NdPJC1Rhg7BIsZpIYbB0xB8hQLZrw1COHuw11J6Vf4A1zqsxDutznvdkNUjpguRTthyE
du7nK7PJ60NdLAcdmlPUjd9+3sFtKormuXIEXQ9eYu67An5Cl/HTpi4pNbilDHmYcSR9aT3WLTMM
O/0yMn1aZmnHXRKHMgPuGoqF7NwNHWXySbY32fGDkuscj1YF4RdyjFPp/DQh3Uee+Eq98duWpBOx
ULdkH7xijXUwuPpd8W4N+pHp/I2ODOcVZtEPE1HzFM4zjkZfD1ep/ZOncb+mavWrEi4yrtxDkrDg
xhGXLppgrfX6gaqHn0qrd2lHDU65LTGmLDl/PUwKBOXqDQ4MvPR0og0oRMc8qC/zGD5ErnF2h4S6
tIhzCg4ONjgR49XQ/DIkbCPyvWzSSTZKCHzF2BwrRmVNTfpU68v30qmvU+pFKwe0LHQIew1L4QYH
gaeqepEDsUp3ZdTJrjXqQzQTlu6Z77GP10HPsTHWMu1UUihmyudmIKuKG/iNaevJQFAzba4xzccl
6zD3eKl078HMG/8h5cKcs3Oqg4bQoVmc8IVnvX0l+hmuKkZzy3ikDj0crr5EbkelEJkpFileU+I+
oIDXXTTc5ty9pSZTFTaBA6gwv9GvEWSpFRfJE8g4VfgglyNIr1pyrJuZnIIIkJw8yoNH2SHpgVOu
qk210LvMgpCPN2cEYaMqwm9frOxIXtPW3GblRXdwZNA5WuEJmJPitwH5gZpX7GeDbxN2zklo07Np
MpFx9PUwaGcfSYIRLYb7DAhlQp+C32b8iqzgPPQh53MdVFm1tzv0v1DnlzdttF77o0UEIfXCW5te
yi8Jn2eeszUcIkm2JuNHbnDHgEHZGO10NcBXw/qKlunYbgZRPLuzd/TCfOUY2zYjpuGNp5A7CV3W
nM+nJzPc270RETcSf0XgIYWW7jMXBGMr6DLVo0XCkzIpYH/h2L+9IqsUyGGNxexIE8uhkvamSYb3
MGBfmPjlSzywGwHRGi3acrpK27gBxpjJ7PbbCM3KQe9NAth9PVhDclDyHXjrU67qWLVJewY1Na4D
IC3O/DEZ5g9Tyoe8JHHUzhYvPvlgJ+VX5Y6vVjsHm77GJjvLUyO6g87MeVWq0KzpNJQ1juyU2CRC
MNn0FQZbQsA72aFjgO5c5mkH7CMBONLro8/ebX43Y19wNLZ3jIQv/Tz9iIS0T6LN2GrpgLKKt4Lw
LpPBV4+5dpRCVi0ygAhsu4aBqkSn4Ttm0gaZFURrDdv6MvzOR6VuW83K9/n1x/qtNK2X1GWGbkfe
bcwcJXl92Lj41Out9cJPxHE2cwO/UcOP/jDq4gZvUKXgIjjEJTnc8g9AmY6msJlvwmvBRN9LUypw
rVZe2lBV9GTwoC34k2aZb13kEyOJt1YGD3ysXxK7YvQ+UPpb4EtqkbWy+DNo6q36gWQ2kXFG1LTE
U9TmR0cr6N5sQKtwsLG0t8k2zsMn4RprK7oIuGFQ2mtj4AuHvFKg5qxiYbP/1RlZGRpKEh1EK2ki
NtC+ASHYSR7duUNE1V8le21WmpGGDOMnT6oHjrnrrve3ku6/OBJ7ADlOv0zLAm9rVEHmQ/Ehhq8w
f8aT1YwB9KD2OLVk6PC0Lms7SujoI+gtu5HVMQHoAZi9rWqCP68FAy7RfojEAs2r8cMJEAJeLN9a
yWeJvloLt1UMRuu1h7K5NWV+lrzbcxuakdPgZ2o5yKaJYOJaMxaS5q9lSbYWv2lm0pPmJi8eQ3LX
Sl/mPOk2TdkSW86ad7ePYkZgGYr61P2BOwymuTo6mRhXhY0xUcIEXpRPXlsSteaMgviRLtsI/pA+
ji9RR9J5Apm3tOuGKqEJi5ETPHtOTZ3k0CaL3E/zTSQ45rsTuOJo6DaxpC2xtpqfOcTHBcHnGrW3
puRaYD5+tJk/Mxe/DQHBQZwCnwatoqwCfkcUOqDTne+TsihxKeuUQrbFO4PRi6FRLS+mcqKWfWLP
IIp0C2omdLp2ISwjXXdWxSzHEbuZ4F3KzHBfR/qXbK1TLa0Lpa8QYSv+eZCdr1kwvvbF5GBByvBS
wmCqY+cjYUKIcf+Y5d4XAOwvms+7dWO0FW7N5ziXv3E9gnjTUaPRvhaGhIrgSmYblaOd2tZ0MKdx
C3TnPIeOg+xsFNseDX8VNSMibyCc2/2PoBm4/3bAmSipLJb4HwdMVbV/YJrdLO5velU0PmmacbCD
NsbUz0e4vU7zi2NkFC7yThP7zTVEoBwoznu6PxTmAyU1Kmt2f4yD5XgwBRvBSX3+/YsUhBT6BH7u
/SPi2XbXk1OJ9f1NYQAoSTVOUurj75/U+MCImjoLaB/jsdmos4MXcui9v3n/rLELNpmjhQ+Dw6sh
qQd/01h5eeR46u19qqScpJE3uwj7QyH7X/Jz8nZ/yAJrtWvshEqgNJ7+87E0SCQkT6Zofz8mTe4X
hE4yeuf4SuHEFwikna0HCYxW4rhYmh5BtypDIxh1rqaKXSqO9l97TPw1na/jTfTzcEPypV+pcU9J
I6x17tryL8fzIRFq0Y22mWdv7KhgReu5hCUkwaQxWPN8xHFXExXlsbmEpCy4kTjmVpOVecNJZN5y
pm3Q2quvKXLOWgoSyq2tiGWVVd1ImH/32O8dCgRBuOSHLNkkKhFIkNHYxgF3SMYbzW6OYnfLKJwc
gaCqsGpYpHjeU8zfHYMXWhcw4kYm25mR9RcZnB5Uz94HLUy7ssV0w6R93YhjETWbeNBPaYiCbOHx
BQe0qBjdL9hrsPBbb6aJcY8R5Amb++8og8/Qzm5zF26FSOQZJD88/2qnh4SBq2I/GjiO9bBieKT8
MEWAY7QRpblvvPFgYRNdkTU8VLabHXdenDw45ImIHcoC6cYJF6njPNK2As2ppULYktXVJLrXQjUL
5o++B6GY9EtDT18dcK1G5tDAar3hVqUmIvPeW6dSd4ynFj18gTCxt6L6bXIBlLso0oVr/UyYz5jC
s6J2Wb9DyHmQZRGuHW/6GGrIW5zOIPoMj0AYsGbd/8iSB4RO20Uw0EeMqKbwaJp0+99wgh3PyZG0
cFqfvLQ6YiNRHXMayJsBkwvmrJUcHQDY5ISdTMJry4bflv9nL8r2WEVSRsVdtYEbE+LY0TG9E509
jLdeGsNa+DYPmInceAPpI9GSGGm78gDdiA1NO3x6NoS5KQ4rJdG54KQlJSJTWZ/8ki451xigL+d8
ZQ85/yRyrDlp2OCL8cLtqAdvhWGSnG+rDXt9OH52Vz2r6JQ9yl9Tr6t9HaZc6733YjTem5+ZvMRK
8aNHU/1MGz0MNOo76Zd2t3WezTfhRhe/TJ7NFNy91ZDZrsOyJ0Yj0XbqmZDp1OOfKWR3YNv4Csxq
lbPTIEqfUSjI5mA0poeKjQlJC9yiIRt5t9wXo8lUTGbQbkakIWp8KHyLfBS2otlY6oM4BXAFBG4B
bMWbLjyB3aUtO6w/YMyJp62TTNZrdlPuWivyDNZHukYXBmsMdRS/Cc6C2XOLo2im716O+dobYCqG
TrvNlWXdrsAsJ4W7MRK6WwzDpXhKMz4ap7hm+SS2uvlYVl2zcsYcpaZeeNhyraKHr1FlYEVlfXY5
dTvs3RYDO5a1mBC8LAgGDfrKou8K1imEsC7y2SQYwaNuCu6fevLNwY1frouJQJt/+0kft1NOBWtB
ZotR8PwZuaRda6RM5Opgm/fBS1hG3gbnebFYGaVub2ETcesZSav3Gq+HmLKuTUCEb86gVus8KzTU
0JgFySq64K+Pl0WO57fzBh/8L3l/acfH/xlx/Tsjrv9vkdXlo67+m7EYn/P3fItwvONjOVO2Vd1l
9PX3fMs2lWfV05lX/V/uWd2yWNv5T2ecAzrDYPj1z/mW8Q8+WvUL6A7YDjKz/5571nII0P4f1TrY
Ayxd9z3X5FrASqtKnv5lwEVLiGOEAW4x+IMw9Fo47wTdQVDg86k4zZpY9pzgJTWJ/vT+zhs4Qtp5
WG/yGho4yMz4oHynNf0b7Xuc+v0BxrhOP7Q745Ir9o7I/JOB05NrgxPCPQoL1CxEBh4+8EHgdYoT
sFFswnCIpvNVRGNydee1bhTlPqPVGNmI78SVJ64RR9agTTkQimCTdwaf7OjzJqZG+Doyv1pwz46W
5kgEg1FVeARsj9Ok7y9JWnAQjSboEtA2ksDiRNdxiAk6PVSH3T+y06m2s6t0HQfZCcienhR7y+ME
6Qqya95xltuJuc0X2ZpzZHz65Ugrq81uU5+N9Yy+aOfMJcos/SOb4nU0yTJWWPZx8kbsAGI2pGxl
65TWR7i+pjde6lVblwDPe6Tjfq5uAuPfULpPYER2ZCdwJVrvoWyfNEBTWdA/JcwPvc56ZFwB9zqf
7I1Vl+9Fk+1kOTzMhQ8z16uxlvEnvDEaV1WHZjnF/qG1cavmmP/YctBqiPgxxX8NFe41rYOiX5HQ
LSiqJcRzy6fvwWFvP/jlg985+tKLLp4Fz7zXg3PUAnwTbY3uiTVNNNhW3cxcRVP6O+nNlljHIfT8
t0YUf7q069aTDJjdsYzl4uhG1cs4NgVMabZEuuiuhAHXiZldp4yUhynCL4dtN6WzC0ab5EJUZSBD
LuZiAH4p7qCIi7N8OnMi1BgYr+PJxHQkb0WarKwYPEwXKi9pdTAo2jQ8Iq2hXQI45+gDdfCoRgId
VvAMS7gXchxpJAhCQb5D+ZdL1IEclcBTcsGUhA+a/5yiIuisjpgqi00z6ke9HL0FkVJsWCgPSoII
lRhhoEpwF1j3qRPv6EnCKEsZDvo5gxolZnSoGjniRm1SnJWHv5nhsL1BHykRQmoEkUQpIxTs8vFK
LbGQTe7vz+5KCpJKMVreAuXVIvgzPURRFx6w/647hBhfjQYs0+c4X4LPH+zqAgPij1D6jUTISZSi
Aw8VWBgiT47YI6rgoUyYiVrtgqzr26RUIaH0IcuvLJbB+Km2y2OGhJQgJSVISkg/MK/DZ43yJaxN
66kefnLHohPjVyBIJUqZGgbzmE3G2yQQSiPnVMKVGAudjReSFsoWAleUbnOld6lmSqV/xUoJ40V8
CpQ2pimVbFB6WYxwlioFrVBa2qRUtShBX6uU0uYXj9gQgQ3Pa/Ab4bo2d5NS5oTBPaOJmTY2+chI
ZnavxtgSF3Wjv3zzp3DbfB+5hM+F/1imoYUAyIVgIQdqShf0qrdxLsdNDSuwidMr4FMURMa+MMJa
pt8MLmOlM5ZpfRxNnUh95vzSNUCXCZpkrdRJB5kyQq4MlW5JNxsqsHOjYyBcCaVt+tyZfMTOXKme
GsgiRtHlnmwRY12ljQbE6u9aqVJNJ+RTFxl1VnpqqZTVCol1VForrc4vtI4AQTPRYVulyE5Is4DH
C4BD84ejVFtD6bdg1ojDWheaMbER5MQ/OwoPwmYg2+jlx1LwLAwIwiXCcKsU4l5pxRai8aTUY3zf
OcZzFGWG2AtinCOoJA+PqD9wmuzydTdjsfGRpPHTMi6EDL6atHkLSpIkLYMDmoq+fDlSrWKWu94i
Degxi8GxnD9qDdeqR49aOyGyGnEkt3Db/QWOp3Myj+6+tJylreF/M5SmTlPKe6dUdg+5HcjmcBqV
Ap8oLb5BlHewtRHP3wsbE8Cg4IIyhHOHjk9U/s1Uyn6gNH6h1P5U6f4xL8soxglQYQnwlTegwCQw
K7fAiG0gwz7AjhUgjnIUFGmYrwM6qfJc75TL/Ee27VOCc2bCjpApXwINJj9gVMKFgWXBpC4eA4OY
HabVIWkK5W1glH7JteOI5WFU3gfuuH9Rof2HYBnCJu4IV/kkOv5B2CaiaFp4ykdhGBgqMFaMymER
DXgtHEwXuJhJukXZnygqTvhzR+XOqJVPA37f2YzNj1o5OMjucNrD1EGXRMEvViLuUpzO8fYxVQ4Q
zH88olwhs/KH2BhFMgwjo3KOGFhIQnd4tYgN9MpbwuFFrCrlN+G62voYUOjKC5UfhbnFJsegIpVT
xYwZzbfKveIrHwtH73iRP4DpMEjN6cfJyCtqlQVjUjUTKiiJgZvnvCVaeOuUU8ZVnpkZ8wyTE1VQ
5iyiAF8NdMcQEszboBw3PecpKFPjYqyZI7BCp7cq+aY/q9pEEsfOgHUHWiHnW+XmwUVDckc5fDLl
9YlMXD8RegK9sNOrU/TPUk3sXOURMoHMYhkKsA45sTiJARdwoyJ96hOnVv702I0sbEeUcOgLCyNS
qhxJrvIm9ZiUBGalRLmWGuVfAtS+mJWjqVTeJgOTk8GoYJ0nqPqJeHdRy3DYFe86dzkGMEzrnZHD
/dQ+zc14mTuj2Ex+Yy5aGxp1javv/lbcedhwwTTmMBIzeIGDIV5Ldo37HMc+SUeG0hrmrVS5uNr5
s8fUReAOdxduivFLU56vULm/Au3UzMZnWrMGGsK7hNjEZH/UMI3NLiu+oiKxMLTXIEBUEZmziSL5
2ivLGdYzV3nQQOLSKVx6zA1ouC6D8GlS6keEkxJs0DWLKRZQnjZHudvM6Nb5KH+l8r3Bytg7yghX
vwhscfCWXMyVdDUISu676RrC1Oj7555ajjU7n+2sHHa+5X3XRbD1co/UCia8ATNeoGFcHjugX6l/
Y7zOBFU597x+pH2RJPvgPsK/BTZheM9OxRClb7nQQWUOykTqN661cWbtxye5zhiIkIO3i0PCsJNy
EdrYCUflK2SjeJ6V07DAcajjPCyUB5EFcd9hStSUOzFTPsUAw6KFcbFRDsZ8UYoYP+OdE2qbzdKx
UUttk7x8lB96hJZlNCEZ+8oaiUUSlz2vTwvXJHolEc3SJ1CrPJWhclcKbJam8ls2d+clFkwP8GWR
LiflzAywaLoNBLa5gnEs21d9cF5J35Q727R7PBREDGY/JrLqDo+QExZEPTX+SRRjsllkwLO0x17D
K4hTsgROnOHFWo1Zba/j9tV2zHSXC3FqRTCfhrIQC04Iw06f6GUvk3E/mmF3ItBuzlZzavWKH4NO
gkQcTEy4G9I+0zrzQ/c57Vpwaf7YLpuhLdFZko+xdRH1Aq+8tU4dro026S8U6Jjb2moDUPeeudem
Ud9rLnFo7MGSUMwTtmFmb7V1FWlUsp5/m7FVvYepwchmaNzj1F+0IWrPWtTK7f1vwPbI96jH7n8r
G1hYIX6ppeCK2GHF1XgRFuVpimjYTjksrdEX3+kcKY5mP2CPFp8V96goARDbOI1xiAIDo7CDqF1z
p1sEdEuvysq+MKtnS5KRhvbFq/TTz1HreAaQdXMYCjyb4pT6zNyGePCeRFDV57noMScNGG0sq1j2
XOogxs3yhXujv/UmSFf+UJzhhn9oedw/Yxfvn7EtyyfdayoY9Yn5hqhfDf4an1f+FtdetS37v+Q8
Drj4WRoJcZJm7t2HsNcBkzVps8Os2L3QiYhWFHSfhZfB3xK5uwya1ts7mWsCLp2euoajin0Jsqk6
12QjnmYCZtte872lNAsYjL2Nw53r/rFz9kHuGRtEWI04oclvsuJkhPaW+7suA/XG0n+Dq1I/0csF
sUTiavIZ7SUGfUNtML/B8Aq7AlRFUq8z1LU9/AzeVeRQTCQj9q7T+ps0wIQkM2Ud9zftxAaHm4qV
PdvJ1q7xNxfQybejGhn3anhMYVG2DtRA2VajZVcNmUc1br6/WamxtFDDaJwdcvv3Y1htJ+aKjK/v
jwFgkLec2balhtz3h8jVQNOgS8S1sdJxDCJbAvoOenqjPYBl3kBiH56ouxyfhqmCVFlO2eH+Jgj+
YE/lBnAB9d77Y1airWNrptRAfZZLhJDpdeiu728WXjc+mJR+3j/0/kkmHg+KCYiS3D+i93yaDxJs
hgCOx6f7Y6E3rqBrwINVDwGuztYTmv/m/kUiacYPJAsP93feH0IAgpWI/eI/f0qgCQV3Fu5V3F0q
PC4Bd5pKM+nqIumBqXNrKAFk0rt8mzgBLvXMBTA0xmdHCSa6kk4CD3VZRhFNMMgqEfrK3D/XSm6J
lfCShNYX0KQvU/ePSe0cCBB+9EqqwQzyGGLJAQiCtxk1R95lnUjplZ1zEYlzqlB+EiUBkdYDVy92
rRKHOiUT9YjSnP3etU5AClFSUqdEpRik1oLc2kWzq/dEwuywBny4omLNNSPtEgSRYKPPQwmKVa+k
KxsNq6Ipr4lNfkCLFJpJixGuBSV6VahfkZLBqghBrFfSmAZ5P1NiGQl38oct5Jkqjl4qoVL7PV8n
HyAbtMhtM7obW3QYH0qKI96MKIc6VzyNSqrLlWhnK/nOQseT6Hk9up6nBD5HSX1Qrd5rJf4Byu82
Dnqgiy44TNHLYCJu6l+qUHBjFL/ObBMbUIIi0B0Wxtb9cZXYaBjccZz0LJQMOflKKK047iiJUoPI
RUjnzckgtVtKxuzYHYXomnnxVWgv5cj1SeX5Q4T6OaKCAmmdF5USRmMlkUq00gDN1FTiqYmKais5
Fa2AQ8fESEWBQdA2SrkH2L8PuoCjh79t0GUz9NkenTbIp1OgcUPCR/2aOGJDeuARPlsN6kGJvHMG
gIROtwnCBUwypODcLFYRFRWcupCU095eE9CFN64k5P6TKc25Fe/5CPYyQWe20Zu1Jj9iTm+JGS1G
9OgxCW4++nQpww9k0l2Hbh0FM6wEbhVD/WIqYTtukm2TUySN4j0r6Ru01W4wEngiqOKJkscNdPJ2
YGQ2/Qd755UcSZZm56208d2Lfl1cd6eR8xACoREKQCLx4oZUrrX2PXEV3Bi/i+qayqrpHpviK9us
CgZkJnTEFf855zso57aS0CVaOi027+UEwFtzNnWvQ6OBA9a3BE8AZgK6RJH3UeYDmZ0rz0eplyf1
BUFNIM2Elu+g6etEL2PNrUiNmCfvm6+kf9eOMB4zJlzBDB8WHQ4BW80D0uRFi7AOSDwEDjK44db3
WP/E4r+tKC4lglswyFDuA7t6jEEbCWVLqPEntMqoECvLAnalYDngYhiUnaGRybYLGatF1VA+MNpY
6xwzA2WCYDm4ow7KFR6afYFPwi/gpxcSSr9yUOCkADJ9tj+sFXgsWrwWVWd/N2vjPVTUrmBczxIi
mTJnDLg0qG14bZVtI1QGDpXc1yRbCM4OGk108DACoRnPhzJ/BMoGEuIHgaIxkM/oX2ngtB56PCMk
Cne5MpGAct10s/Mj8kOxjCoybSnHcmU8iXGgNDhRAmfa9Fr/eejtYJnl+8nQ7xmkIWVgaccJvpS5
T71N79Aehs+lw++SU62AirUcU+WowRGTTNWDZNZAnicgD4FrJlH2GeLYwEQYJdDAg3aBxQYv67vc
dAYYVVNZcIxiN+PIwQVEAwAeHUeZdfAmt4sR/05NHlnvcigbOHs0TE2+0z6UmXjyYweGIO4db8x3
pTIFTbiDclxCJm6hJu6PJJ3NUGyssL8MeIp8ZS6SymY0KcOReryFI+yQKDzlrY1giDepxaPEvLBc
Fcq2VOjlXowTTYxksVwbBTvj0zh4nSiIAvKC+wkEwYQXquEckUhnXaveG6xSyjJFWQnbNoASvFSC
GEyuzFWFslnx/LykcqXtAZY9EZrhsIQrLYPdBsQc0/S5G55HfFsgysgA6Gtd+bnwdRWj/DRFg74S
41OG78vH/2Vw2XSVIczX/Y5TAMiyPKv3VKFuB9xjQ3+J8ZLhEFnmeMtGZTITWbaNQiA3GSu5jw+t
VIa0nAGPETcH7lBY1RRPFj/LQsfFNuJmy5StzcDfNoVcb6qRX55mi9OEBy7BC9cpU1yFOQ6PXCWp
oSDQwIUP/xwnPaX+bMxypjCs3GrB/P1fEs1fkWhAi/xzFzIPqKJ8H6N/INPwfr/JNC4gUUd6HhKN
UMA97MS/yTTeL1gqpWNbwtbNXxWc323IpuFJi3ezXFNiI1BA099lGoM/hl5lItY4wjLlXwGQmjpf
3R9UGssSCqTCRAwjAB/U/KNKY2U6fAnHJ8BvMDXRKnhxc+NEdxRUSHXWmB9M4EX08iVYQ2ZihTop
SNoIh+hKdhw9E9dRkJ6FU6Xnj9eshiCSjLEdf/wZccTHcZ7FyXftvZVZoDQq6wvYUTWRb7stbDT3
KYt8QvgOA7upqUAuBL1+plu5ZshRlZc+HqrH0cHlN0dYjynzorAmDbRT7AcxKSZ/epF2Ve8zC7s+
FuYV9+DoKY2wPzu61dNL1FAMFbRgOrtKezan8TvQKOAF6qLRqyuHri4fdD81d1BExcnkZpIIJGj9
7vmRuS+t2dn5aSWXBt2vi3ho2i9hPF9n0TbPtlZV2yzhOAQ4lYsQN6JMXY0mdUkqus+RujQxBE0/
YW/hc0Le5FrFz6bYdtajFWnmIaONkTFRD/cv9D9rEZQVo9d+6LHJ56LBp4k6KgILfXjO3UJ1sKSH
powvFXWIXF6oKZKCHqIJdeER53B+b+2Qq1/mvmaaASijKMVD296ySoorRQsNUABhr+e+QYjOzOBx
xOec6iNDPQgwYWZS9aqnj2RtGwju7cU1cY/LIMBBFPnEXIEMgK1Yt5xRVk2C+t+LGZ5DJgGvV2TS
vcihBZm9Z7xQ7IXpKU6p5yHe204Wc4bMvXo+4wdpgHao28JZkUrlNDIm7EVG562z2KuRcYJXh/xR
YlewTxia6PJi+8M+kSN2mpzBjMH+Vo6VuRUTc9qOaCxzBlKhTkZlvWu8JfgiAKkjuFGt8dkBQLHu
zSOFaEy8KZ8uweBYSZ3t4bj1K4sJVSQYxWXY1Bnp8a23c1GRVBbtisBszbDxnfxLhklNZDuhRTEq
B0gcdL7pKaM6eDZNyDmpIBrvG5xLIxo/OOp4wU5vHLEDMwA5bciMQ6/LnVUb2pNWmw96zmg6TCou
cObgH/VJuXuDYnpr8Ao59nRIs5yUFBy/KGjCN1y5FM2CB3x1PY6Cff01Erp3zlytP5Kp8peemNJ3
QfWA7xvLH8k442sMp+oOJhuDY5BnRMqMdgelgg4saDcHw0iWWo+aCCaPw7tX0qTsBhtHA6GZcuhV
OHf0kNB+TYOUbkJM51BiwgNR2wfQkMRttE05Dqu0a52NV+TWNcn9TyGm8xIO4K7inkdIZ1qbWtq+
FBO1NWJkg209ouda1D2RpaTSXSaLwouzjbTjblM7gcos4xOpkgygt/bSkbrahomTMZwoaG0U9PkA
w8meKrOMcJgwuMJGezK7bmf2bnedgrG72oX/0Oc6M+HKpFGmcE+5DZstC6JWjVVVdWFOgQrXFBAB
GlSRndEZ53qaxcHOMUDM6b1nCL0a7B6vX0CFSz5B5i+SbNtz0mypW3Qu4xjVUGTkKjeNr51Tdouy
Ts8uQYtFPXAbE3LwVtI3xqXef+3noDwUo4k7KP8XkuyvIMlMdq1/vlcfi+Zvt39MJFPv+Ntm7f0i
TMN08CtYNlrKHzdrckRsk45Ou4llOj+xwvVfCBEJVXiCMGErnwMf8rfN2vgFm4aHBGE5KPmqL+Uv
bdZ/dlSwV+uOBzINtpSpmzrujZ8dFVpuN1zJM8LOdvkZkPc3GVOeo8f2Gcjd2qYIjKAB5lJ7PuTl
CE+Had3c7WVIb5Bn7dPYZQwx4neH2RyAvy/PRVxvkiqAPmuv7JyHsd2p/sM3OcbvNPR5mMi0K0/t
bj/T5fopJVnQ1ALmcqt9Ru+WEC2nZvfTL+fyawTqb3mXXYoob5v/9d8cQ3HVfo5GWXyjlm66WKg8
wW9D/f1PzpEZbGSNmkTHWOuRT+2rYAN+AuaoauAY84iJOOIouf+wf0pK+w3BwHj3xdajdqvAyhSH
h94Zg4Nvy+DX16revkxkG9eepY9H5HSUl7hdNHx7B7dlgazKjpi90+whByxyWVmHyQY7HCQx3HCR
2YePFyziab34eDUd45Kt1b1neNgqfIvFcGBCPhysGXZxP3TKH0xARUPigB/bkfIk64AHmk+PmXND
dvKdsdwIkay2iWkRrSA44V/yuPYv9sBoutfD08cf9UV81aeo2VJu6QGKgec9a8VtcqKrwejmkBk9
fr5SJIfaHW/lZLcXTI7tBWcxGKq87MYzDG5/7ctaO3MLMdeO37cXPdS6de+l7sXLEGUM4vRXO6yv
pa4KNXFXnjWkzc2I2LgIavMbbLeCwSLzR7W8WmqhtVhxa7X0WqzBtVqMW7Usd2qBRvMPNrQ2Z0+9
Wr477aVWyznwhBBnGUv8pFXdZvArUFcZrDMk/s3c9d0TGSq5kRNg4QFS5xzN7YtBFkpCVV5UalOJ
2F1SdhlfbTeZ2ngqdiA/DrYSNdxoywfpRwfLQ80qFU0VsehVqm2sFCa/XOg/JxnFISQNUMvOgCsc
0jDyS7qkUlY/QASkBl1tkxDZWezV1hnxEEk/dlNyHmytvZWWZ9AJ5cnGy4RxGqUGrDCX+3Rm2Fv/
cIPwbei5ajfzDxlML23eX4qses3rIltQcKyH0sJLUlSQ1zm1WThWsBdSklWEb4zeFD76XHqo+Dau
zSYa7kLqp1Y4Z3eD9yZxG1pY6+OUDsy8+mViRGdo1FzDDWxPM84+re/XWiPuduV8LY1kFzsuAzrj
NDfjFuP4kYPWid8GVYIAhNKgWMCZuXcaG7HR+++FZr9z/fyEpVN7KKqs2Y9ORy3cx6sfL/ragyCU
aGTF4xu+xJBkMsEChjw2gXiNBkMLuStvPaz6FnVnTfZlLNvkPMT9M7UmG38ykm001J8HHxlf7zJc
qnZu4VxKrIM/ta+1GQZvIbYiqwkMjn0WDF4UsGqira/HBoBX6T0ep2arebS9okiw1k3yrXFcZwsG
AXtUZWbrTsLhjWJwy07rOQ9tPTqnoe7kFpP2CoTzpewcDrA1XSqeTKEZJSMdRHoxXqfeZ2wfU5EM
PpZBtDNDdSLNMrZJuQ99ltmiTD0QzRDCUzyoQAqSd2NwvhCz+aZhhq/S/GJz9A9VUlpSzEwFVOFT
Ox6MXDry7wMPG5FdfI2WQct5Apb94FqqRNs+5EOz1/J+zxF7UTT6d1jxt3aXZjrP4/yie+FX3MO3
ptOeIvKFmhPBxx1ujQVWxiouwTmCb8bj5lBlwyOV2stGr5/ZGB7x3d7YWlazXWymvr+pz4MUttQc
9+DH/lPDJapIO+bB/ERbaNmhLdZdV2+aYm3107nVQObXYh+JT5WebyKthQNMpEYPv8FtPoHaG8kt
9LepJM+E4aPmJ4LrBmfO3i9rONOY/OmEWM58B7mbKMvcJrc07DbDbWiLS5pVBH4ks6kE/wlOQEsW
T6HBsVwXyZdQs7c2oRbulheMXG/aDC2eGJhTTLcuhGbsmkBvnGSjgf3PFXIWH/ViIEtWQ8KRWP0W
PeKRtMN9xHrkPQbtccppGaoN5NKOCbUbxp+TwG+XQT6zeQDrKrdD4e3idCQElx4LJz26JhdSW3zO
7d5b5cL9WtPU0TndrSqyi9aMPO0Gc+Wl707UKkT8U+mVmySabn6cvdlt9qzJ54AsqNWkS5evPJ68
pzikLdkdbjo/O60W66E+qV9mYvmLDKZv2GZsIXiwyplCqPQC+OjHZME3SwjAMj3AneN2GzNgKlfS
Cl8y922jH4XpAvMp6lc3uqV+9Dk3cQfxQwViWg83o4neezhJ9P5Ot8rjSqdOsyWcqRQoVcmM23Px
RBqgVqA5LkoPAazzgnw5dtzjP7b+SO3/v7/px0ax70uuV5jZm7Mtps+VC4PfhBO1Et4EhD1JHpPS
cFbd4D3qVd5d3AiCFBLJ3hibcucYMdkX13wya3uPD4iyqjx2t+i83xrRGtvCBhpTdYQ0ktYrVwnW
acNh79FlThDa/Ox1erFvJAFTRzo/RscbdkaLkxNo/Ncxn6OlB/n+7jiHeEIunVlYZ/VTTUzQ+qFb
fEEieMQHeRS5gY4Ylc92RZq1J1Jr9NxpbX4gq6pvXgJoXYgka7dLuY2l27amQTIaoX9DmcAESi3t
fEZjw7sw9NQj1vUrYz6TgGDzSI3IxYHNiBGbEas+Ms8MBL1E+kifZhxcW6sEMZcyi6QG5jSOAMGH
PtzUEnZU49XbMs6ixVCZywmP5NbPIc4O3bgtZbUWRX9vOkesisA6h1W1TsDuwTugDgyUpkzeiSzi
lqICL59Hkpqd902vsqsFeHMVUgDFmXBewqp8RYcpVpFjnVy3uih7v92VO+MYvNoKME78+RhWY47B
qzkgvV6aAfRgG33WO5jpisIBy18w+AyZ7peKPWqkHpUKZnBLO0B+hvvDygrIhvjuTZ87UjrhuYBI
j1kh+IyWQgVE8STjWFXJR/gLwihdhon9FcnJJTrdQdyIzWMl7X7vimokJthdTebSmyFFSAzxgWAZ
8Re5FhN8HdhuCVADK1WdlrXPVc613wkY7OyAsgW61OKS0S6OFwdoUQPbMM8iek8o4zLo8pNV+OxI
exdgxauGOVtDhzTcdzKBNZFxUSHUnuFkM9fW3ccwS/SHQNhyGabRsuzxHE12/mq4PgF30xc3rZlY
0MtRpXsAXDHVsJ3u3lndMhPlFwfi9lp2PpMFTefnZV+Fo8fUdOTwyKG+LXKHyukxXkVYn1Zm3YK9
ocllYTjqwDl9BWkTLCcnu1N/uOjyCqDJWM7QLq99T2AlAZXo43BYm3q0D2PA+WaHKorKMM/uey9z
Wq/tGfIknVhAFO8ZTe/M11Z02dx82OsPhm8curJ5pTPmCULaQ6YLltfAv5bzsE56QV7XtMBERi0d
1szvDafD0NnBFLLydp3BXNSacm+6OGKI+0AIrvpNaql8bLsjnN4t6xLly/IweFmOycLd4THgQUKU
pFVnKuBh+By2jJ1+BDo7UaIP7+YgGrrNIIbXboWfexTlAf4PqvLMY0ROtrmr2arw7EwOHSdsIiPt
OvSOwitnLEGsPMKjSuWfQ/0ZPrB/TdD/axN0KRzHNgx6s/75tfz+nrfvf1un3/M/wjx+f9+/38xd
HWSHbjFC1yX9PVTq/fsY3RW/6EJdER0DZOofx+jiFzAeNpNyVE3d4R7O6Pv3izkXdSbzrmfbtmkz
T/8rF3O+rT/dVw3heh/Tcybohv0nlAe2/KZLg95dJeULKzWnYB7CZO0KbHo//YT+wd1Y3fD/eDMG
ee46FnN8C2i6riYEP92MrZwTZBvxmcr21SED7PJEwjm4iExYwkw0jfL+n39CKtH+46f0dHwChEqE
QVWZ+vufPiVdJ60Xm4yxbKMX2ySe2V1nxfOkohieY4qMrcftvk7lI8XHhKrCm57WrwUJzkanZ6Wf
uaCCWajtuz7qULJZxHx/eAup/IHkCtSpM5oTIEh/ndXVMc58Z1Vl7sucZICPIN6uNHCdaAKBca9k
gEmHO+CaMVrFLSy/uRalHEyMbYoX5+Qh8VvICgjFi1kVj/ah2He1i3ZqXEVr3Zy8+WYkyYuNchay
Ri6g6m7HgSnpaNHaKhv/bTb5rkbMgVOTvKCdvKFDYIEYyW4lc8gu5UL/zYSAKhL33zJVp819ZSKe
R+2ApY3PGvR3voBPmRHsIovQI2HQhTXKIwaPYRV5ugHtpdRWydzfOe2zVjcjQrKGdY1/fq+x9SZm
f6gra2Nxx6f6CBMwEX4Sebemtb7Qe8OFVPOOKMs4T4uS9Fai26u01Z8gJVyHkb7KoOdhSNRmFQkn
XY9MFrBcmPS4znwf3pSDvXN6c91W9o8e0/9kDjDfIT3u5tB7sJBiGb4WPacajRSkzrJOpOx5NAXa
a94fg3xiGhNDqtaL90QAX250d51N1vvQNVuR9HJZtd4pVQWJBb7JbpY3CtbpgI2euoFL3UgWeNST
r7meXu0ZdsUk78JDHCKcccFEgKenwa075PBwhWHcmoQLYhRGnPMQ6h3rLbWyNVUhr3hK93ZRw1Jh
+MIAmsGrZ/go9jyOFj2JH3j780FPUHPxyn6xffdFM1qM47o7LSii+CT6j5yO/mba9QpAvvWQynrj
DaCrC7c9CGSEzegFe98I4VBQ79gm2heTX+dDYBHTTdGPllkd3KB2XiRIRB8oPZUfIE30bDU38b4Q
fUe0xcRJZ1wdZmu137xVWIUWTqO9znp9rmmgl4PISa7LfViMWwNTtN2k+9aKiLSLTWrAbYlt7ZqK
9hFCFQ7oufiEKHUZw5ncZGHRVwqtg4hi91gPFt7/YSfc4RPP1vdQVU6JOXjXMC0sstY4Nnr71BOk
hZ/jLkzS12nTp0u8mflDQeJmkwYDozcnZHLi48c0W+8lCvtPZDh81AFkKq9DPZNlcPW4UfIU6qD1
mtozaLm7FmmfgBhq51iXtzQY90Hud0tXBJdc1P3CtAQoarAhsMlH3Co4flrTvFHaA91oWAX4dLkw
GHdrkkSqq4PM441w4x3IIK79Pu7mhoQjPBwtBbOIxQw/vKFtzQSWe1fdPSlWgZXexThvdElLmBZz
iXcCRh7yccTklPXI5/CRhwertj4ltnVuuBKaOtf8SQZfxeQa8P/tJ/pxQeLor7TEf0KrOYxy2Da5
Whi4/i9mmrl8w993xbwjdb3tC0FaPd6ns3UvKnHrbQMAeIYi4SvLrCkpqx3vU5ux8gmOiI77zpV/
l/g5zmosCHmxkZV3DAYqTSKxsir9GJjjVvaoPYPOyGDy6mWa04PYpsVW06hoI9+9JrsFsdUApav5
rMFc4rzI/kbAlKhFmQKASjEaxEz1IEFpT5ZZyk8oMCPw1VGMDxLvzyKqh+0I15sjUAaYKJkLn4j4
DL12LEz4vVqerlND00FXc9gTBYYtt+5OJvWn+pSnMOnYdOYi+pJQHGlmCqgCda0h/B4Y6b0e26Uu
Yipb2NGWZhZ9KUoegx+eSeoAXRw7vEGxYi2d/gbBgJlBZQFtSJrZIXbe5+ckMzaFG3yZUvjiPGCP
QTbs3Y7bFF73jW/j5jXiej/pfnSzIe9hqgialW3RshAV5T3LtTtryFcnJXgVeJdBK1Ywk19Hy04P
2ZycqODeQ22GQPoy2/6jRZu0Ab2BbqesfSr86V6N1aHNg3NdNKs6E+uWojHDbte523zWWhvoou6f
Z5oiZJM86G6kmpvyK5eHHyR1ty5oimVZeF+TpgJm7ZyIaS2IYfBMxVCfIFD72QMhEK4lwrznc3yz
W/tuaD1quJstIZFwJVaJeDopVCOW3/NMCUXJXuRiyaKBO5WgpbUBG2yHeXsTZL57cE3YYPTr9HW1
6aVLfNpE5oWlTV+uMpI08tLZ5UuaO3hJAu4RVU6VbiIfCYld5g7qd6dHtBvk4bSTXkKvyOCN+PFr
qz3JophewPvtCrr3dsbEJD22uMGKyspXPEheYmart6irIxVOWWVx+FTk6XMWSw1bpA0+jyeHuy7i
Mir/H7B5T0XGf//zv38d/8fXopwo2Avbj4LW39/afC8e37PvzZ//0R/ep/m3j78Ovher9/b9D28g
bkCyu3bf6+n2nYPdrx//7//yv/qXf0nd4rz7z4/RiyL9P/+7f6//gROF9/tN3HJ/cW0lXlHdhemE
cPy/H6Ed5UThqOYpzYXD6+84PPELR1r+glMyKWOO2T+lhVG2PMQyz7MF2pbOx/4rB2hM7v/hlGkJ
vgRXp2yX07hERPvDKROJYBymzFr5+SY1BwrZZxytZWnv+sbLl1Om37XU8M7apB+krbIehMH2kRe7
z5pdr1MCB2XmfK5q/xiXTJ+MJtiIjou/DvNpKSECP1CJm/ekX0GjXU3BnouzbwUNjYAhzlTbo4XU
kAnrzuSSpmqDEUdoyJHSCPrg8eMFwvuxCVtk8HnGO16bTJrsrFkzgFrVMplWMhHTiqTYYbAn81Dh
C9yE9Y69fbrUZW1zqQ8nVhMfDE8VJiwGoN5F6INISsHXRum570RzZ4rcPaAKcaQPh/xhQmFZDrjZ
if1x1+ebKdtV0yb+0Q7BwpvaeA6TLL/VQfZsYmE9do3MbnjTdYLPLkmPh6RJsP7qU3OKmR0CEQl2
xtyruLK1x2TE5+/Ds1+92xwzLDHqGyOcichW2XgJIxJPnRTa3tL06ZHutstcOXKjl17LsrGEj1Mc
BiVsi/6ro4RuQ0nejRK/P05jFXo4kxAuQyjkoBAJSyOZJ86lC3/gwz/jRM22OB5afuLBYVRi+6Bk
91wJ8DInWIggb6LMB0DndhxMNBR7XUn3Up+NZRa5zRqGTsCICIk/1ZEGHMtvNjB/2nMrfXtBX+7V
d2vELYj+a2LzzqWJbKQvJ2kvIemVteEG2nlsDX/NvH88Y6sQ5QnrQnvxRNJdem2+MTlGaKtmHdAe
Qpt04MkpEc6prWUeMT+n6qre1kV4RVL1L46owpMIxQ4txLt8/FHVY7YsJGGnmvnvcZxokvKCdGMp
ERDCPrcCJRMOSjDEpk4ITImIJmripGTFQb1IP7TGFNUxUfIjfhT7MH1okh+vfrzQYiTLUYmXmZIx
Ewf6ixI2SxROR0mdtRI9S9RPLlL0RipBdFTSqOzNS+wVwQGgXHD4eE1TAiqxu7BYZFi1lMwao7dK
JbzGSoIlosNoScmyphJoByXVorTQdjjzu/uYupSevfpY39T6yyr691swC/DPa/if3vy3/58r0f/T
qcoJxS5//5sarkTvwT/CSPDuv+0Kkso0HYYENFPDZPL6067gUsJmOZ6N+dDSf525/OZPFL9YtrIn
epzW8Sl+6Pe/DVbMX2xbSGimnnIoMKpx/sq+wFz+T/uCLQzH4EPyFUA5McSfrAB5z30+ig25IlCz
QWp/9RmLEDfgXqhPuyF2XmpNfi1Lhu0DgU+jI37OCRKiM0+wTadLbhllRQ7/11fnCKOcNkbcfYY7
vYbt6eMFfRAdngKPR7AGAwL8qi58ZFXyLbsig7cy04jDGa+ErYmIyDk+9Tsu4ZW5Ho2OkqGJTo+6
OPZ1GjyUlGytKpIRNT2qy7bpdm7VjiuRRQSjLQOvYEQMQIs5RffvbsvwFMjLgjruamHZg/JgRl+M
QaNomI8ckdviWEwgQ589fHe0wPe2vOspuTtYADAjLpjp/EVNHYoZbAdoF8Q3o3YZ1oAjGtVcypNT
h0sAzJ3uL0frFrTeLrs+95dWZ84LIg5At7NadcoTsuipyEz4monOTKsqVGKY61XLyAzEqTDSeE1N
/TSl81aP8WBHXCxcx98HevKUO+MMJYrP21TMubUue9QooHKd4S2PktvkeVsRDbChTRBbQUylqEwl
XTgjsIYKhybcjP4IxW1T1gaT96mzb1EdPHgFXRhlQrQkckgUajWDerY5LhgUWmhAwhCpaiXLVgfs
10msKjjv7ux9RcePVJcxgP45VAGedWZQpN2hKyGFJTur/N52e73zU3JXgVjRcF9RxuNtwtCIVsnk
riy9nE/CBY9hAihxDX6GU4/DPbfrk1E1p7r3aJ9NtM/2HJD5S/bBWA7HnmRTA/7imFF5yeMweW6I
DkCrc/XHtmzgIj8UltN/c/omRr5rD2S4/assYXzYKWJ0kV9Ss6dhSo0wdDs6p0XUPsL3f+LBMsN9
y2EM2SPF4JR3FLjGa3hEO4+cfOfFVw/mw7G0tBOt3wPiicklBB5lTfTP5FJFZS2SQVEb/TVvJkgb
uPANazyi0qvHmXz0K2wlBWPxddcbNXGYbGsxHU+deNzhgYqOtpwueZi112BiKuJpzenjLQJD49nN
yLZdwyjaY4WKT7nTQ/SK6nA3qFqKPuA+W8qUPAjf0Cyt4arJcLiSVFxohrbsyISejNiyiU8azbqx
wBohigyAU96TnvCbW4oCoKP9MmYu5eOVGT9agnozq1l0GbEzvmz9kurtEiR3eSb8zSNZ81cevKNV
15bz1aX2b12YebxuVxVYCAI3I1MfXV9VsPOvw9JIy4lTV1iuTaAqaQxncgjmzRw0+jUMp/nEBXr3
8dZcA8frm67aWWZEWVTB6MGfuZmXPjzZZDZIbeiduDojTR7zpICO6k1qhHjogrlYGSBPmVSCAJ0Z
4HqDdbI9my7aDJduGdba1iglEaJltHdAPfsC5jPbf8aC82zhjlqQxz+7Jh5n0jHgO8gEgDpZD+0A
dyULvrlC4RvgNg0WF7xWoZxyBXWKFN6pVqAnXSGfhII/6QkYKB/XSKTAUL1CRJUKFjU5JOENBZBa
OAomlbW2fCC+9xzYlD61Dg6Q1iav0QxffJy8y1lhqXoFqEogVVUkWQjT0fDma1+FAcyK7eTWKryV
oUBXPcQrQDVMGhUEC9ghPE6wWFIBshymlONYnjKFzrIURMuFpuWzZCi4Fo321UoYt1Rht2r4Wykc
LgM3GW0O0FxiGF22gnVlCtvF9WDjKpBXr5BeHWwvXUG+NIX7GuB+TR8EsBAWWJADBesVHizmp0IF
IciwCnZYA0NMKpjYAFXMV3gxqs1W9cFS0DFqlFk1MGK7CkhmKDSZqyBl+QeuDM6Q+kdBjju5JD81
iuksFeKM6mOYGkDPYuhnkI9eQoVDGxUYDS8rYxEFS6sUNs1SADVTodQ8mGodbLVKQdYMvDkbhOyH
Qim0QqHYJEw2L8FrZUBpm21wbRXcNlMH4GZDctMguhUK7TYryJutcG+5MBjDep80BYJLfJKtCg3n
Kkhc/IGLU+A4TyHkTAWToxC0XDYKMDcr1Bx2lY+h8RepMHToizmz9um7qxB1XugOD6EQTI9HrEjD
hR+gs/cV2M5jBkG4CNjdpLB3ugLgEUD80fG/VGg81AgmOtDyOoXNi+DnDQqkh9m3pweO6waMPaFg
e5rC7gUO4VkF4hMKyWcrOF+uEQklR1hA7vt4QYQBXxyP9AGyn4TwNynUXwHzr4X9R8wLf0iFCu1P
8rsDH3BWoEALYqCEHNjoIATj9t4opKAJWzDIEGOJ8H4yoA5K6IMGFEILGmHW2yvKW9/hbhLVP1gw
C4MGeCGkwW6R2PYNCiw9OQpxKBXsEPXmvCsVAFFAQlTN2asaNmKtIIm5wiU6CpwILIVyvpzlpsR5
ruCKk0X4vqHYo7WGUx95G8OKroEnv7hi+qHBZyQ+gNfQ/CRyZsXlOMErIHOqkI6JgjuK1Djm0B5r
Ll1gCwoFgfQVDhIVfjeY3AxNhYqMFDQSn3m76D9IkjVMSclGphCTg4JNcpbSFXzSVxjKSNGXCoWm
jBWkMo1w4QGtlNArW4WxJM7IU6MraLFGbmltU3skzvWtnOTw7LhqpOnU9nbKQBAzk85gCjbWkR7E
5Kh323LLWFu+9c4qDZP+za5N90ELa2anWRO8GgNnjp7z8GxN+Too23LfGub0VLTQuqLs6+hXcAi0
2L55kesfC1QyEVrWbbQ+43HVT3ajzY+W3XtLdBSP3afUH7lWY01wBmdrkeLM3NJ5dARdjVU+lKeQ
X7qLiHMJwZUexm5mqhX3p9lu+1MzPHZm4jNuDtyzk0lKUP3iMHc0q+mOpr/o0dzt4sk/Rlbz7sQD
voGw1DbeyAd3G9eE/80ylxfk4iPmtyYdXMcoGuS6UsNsZ8KSZQituKLM8ABp7PeO3zgHH314zZv4
GDQUik25BFXY+NommA1vH7lZfWiSlot9FTVnS+QBXqfRuGtvti4hFwJSRj5K7bs2a9HBs4rTTIsA
h1Hx2RTdsM4ok1vGHUUE+hSaZFltTFtBUL1i96S+HkD/Y1/G9k7DkEdzSXurOcofumZOguU4uRzR
en/aFpMRYiZWufg23YrCF8zzI/gxo7qEuz4B2CCR0d0V7NdU1MkHQniSxmD9ALXU+4zXzliPXaJt
azd5oAjR2Y8yFUdSjIIiZmtHLDo9f7xI4Oqch+mHEc2EiODpr3tkZ7KW+TfXrqrlOBCKNOHdM2Bo
myeEEP+YVqZ/q1KN0TjIELM13CscjSf8/wBPQxXjVS/MTVjqw2M0WbeqauXW+r/snVly5FaapbeS
G4AMuMDF8OoAfKSTzjGC8QLjEMQ8z9hNraU21h8oZWdEZClleizrLiuTSQolne4OXPzDOd/RteIx
Rd0ZpIvyYpUxMWR519yQ3MtRvkw2wtWJ6OQ6ouzMDUzVolXuljGxGau0xUGBFLuX42CSw8PwKB2G
dGtMOXsNVCC7pJzuIkXoX7m6na3ahwqMxwVZZxUQiEsOo2UHrTckSn8TVIu9i3TEJAM6PvQ7Tnei
r7FPUdED+0jsiwjHHoFkfOYQuWc/PT3NIadw3rIOkT1n+dKpIQagaSSglIrnWIOaypFDPiL1Kj0i
eU0XnsOXlmRUhUPCjo3KC4eodzPRw7irfab/zVaOi9ikbXIifKXd/f/W/28pKuiP/3wUvDb95T+8
knSVsPzH+/d/ZDgfHtr//q83NFIv7U8T4j9UFvy8fw4D7N8sw0RL8ceAeJ0E/8usuJoOaPnXScCP
9gf1NxXzIO4HaJK6bZKdov1gf1B/s1RUG/zpOkde01aMvzUN0FZ5w8/yB9VGieCQDUpmChII/vwH
LcJYLBGQw071xiy6S/RyJWmwDK8NKmBMdISQ8uTzZx1Dmx613bZQmFIuo/YaVtlt0lrIa4naPVpD
/OGMw7JrRfVdEO+bZvKUGg4unVo8BGlWHKbZit4wTmjbWRRyt6Q0oUqNniEP82E3zNrrKMF2ydLM
b1Nwwqzgp5hRsU6UapiGhxZHqNuITvpd0d9jBcSCThwtufETKn20TPNc3HejhbKgUu6BaVu+ZuW3
izJCFilpiJAA3nEPApqtQ2Jy4TZseoltDuWx6uoW+bhk/zIbyImxqJuVCTnEimsZcb7XqzplGhK8
5aART/gDcXZF5YPs03fRpKzkshzc+BS9GYGpbUmJpSYzSnK5pTzDh1zolcCsm+qMKnRlI2jCTyEs
+FXeXvAL0Jub8kI1tZOqcu9EhM5QmoHrX6IvTbYG1GH74Cei7BJylyw6j/YRId9SMqCJhfVgT+p5
UhvUb1Jcxc0Kc2AOQRza7eL0qDfQgG6gcgHqADFuiIoSpo6eldl4UFpDPeDGua96DP/4GvnNpW5t
FdF8MYLsTosZ/NrpUW1R+y/OhLy1i07o/AmwREnvGgSCeqZFCTSvmgaFQcnOXqp9a3KdyNSwSQQB
T5owwVn37dpNT9S8WpMXP3YIHLSk+WKhDV1WWH4k4xcBLCjDE+c6StC4DJDudGH6epBE7uDwe686
Cyr5Yzw3pIokvDkHToQ3NSgQIsN21lX0pXNy9I9gsoawW3MlEhb64qYmbJbe2by1mjVxI9A5wx2L
rkRMJxOc2pDU7Cts8HhYMyEYzsatzOxjQKYBSZLpTlsQEKsKh8Vw1Dp+hIYC3OtN8xarm0lROPhN
7JzSJXkQ7CFcVszvic0UOnD0mwKWTZGyCq7s5DQFy9WYolpG1Zs08qnUopc5nsINmXF3Q5Deqr3g
98r7Yy1Sx6vMcocCcTd2ZKYVRvfEHIN1cBE/2tkAGLJX3goBjw94Fz3roUQj0jLoKgT1bl8sF7bN
D6yk/bSab7LE2jFXv3Sj6SXdjPxlJLZIBZjQXWlJh4FHMVBLdw/SGb7yk78mSfGoK4jWZz4SjefY
aKreVFTflqCkP9YZiRh2+hTJyB3XYcSSwU6ojoJgPUXnpmleCXpFTnTXtPf1oLOiRj1PE4m8Eceq
lm0a1NVB9RqXJuoSVhzDtRP0WwSIABWxbtLQkebkZ1qLaWPwUr52+uXbkQyipokQ1aNrrx3FFZN1
D8CLNB5p3uTafQ95gHh5FkiPTGz9Jr1HWu5VmQKBlqMt5m6X1gV31y2mA+IryVWCO+vYUHCVYaeb
izeHyklMVLEveheQI9yz98h8xRl9hlubcQgwp+q3LLVY3Bt3uUAMj321U2H/CDLy0IjAmEApz0yv
UACjVS6WKA9+2L7DyDoV3wnwPqlWBm8D9EL9ygIL925wm6GZNYroagZTQVviZgw/m/5prCsvsUdf
UaAtknY4yWYzBMgKwK6GTXrNaG3bRWIz2sJHfnIJQfyk8GNmo2cGNx5MrSD0qH5zQFOhvYCjeDLR
nHbEyJuzc2d0eJP79NyJ1bna3KShYA5T3nQL97wC+SHS05tURlC+kmtIEA+xOX+dk3RfAf+j10ue
crD1MrG+w3XdaUm8bDOjek5U5w2Vdr5vw5wg5DHlXtJWrj/ZxXNC5o/hsbe+VIWyLwfkZUpC5JUW
XlVm9UDg0imduq+DZlxrJXauvMlxNTXl0UnMk8ROhjqvvpikWhf9dLUY6gVb/CEoHLZ2uHCHpZB7
O08vOoN5v22nHgjWNO0iREkbO0NQFA0vSTe8Yzi6JMBkoyn06zI6UJbtwtA8LboChmzY1rP+kTnh
rUhqa6MVyXO8XtOOrkDoJNoKZnHR9M9Fn30nV/jRjHCWLIIxSnCs2+m+1qojmcsPMEj2RagfavVp
rp7n7BzXnKYgJh31u2qLXTBBxwHtk9LVsW3aGqiwFbtwWaV5FkLpguXouHwxEE7TeR+n+G0I2Eul
zSMq3pPSEeu4Jrlb9WkZCx8Ayb63srcwkU/dAhM2QSNtiIuRzcx9kbyzq3rTc571ePqgeRGoohlX
6gipJcuDG2vuB7cv7UPEsPadOfQ1kwq/tmFZhg0PtTa77iX4XGW0zs04nCb4kbnsPpoyg7sPbs0t
zWqfL3CenAF/iyg+aFI5Whl0kx4jGTZCKUUEaJ4nW43cVIbnKYTxPltUGa017gMnglFl86bTUn2t
y36Gi1p8jVrxMIUKGRR8gs6i+JVd+51p3ZsVOsVQHzS/NRHVD1P9DY3FgZPxNTEHOEe4YYZ6O1YY
CAwnfOqCGE1WNUZ4CvLzqEy+sVo2Jx1nvx14hT09DKl+pp3/NmR6gjOl3DZEns9OB68+OjY1o7xF
kyChqoCucmmuDFLUlZpQcpA6q/xxwtrZd8zLVsJY7QdJvI/G4WYMEWSnyRgSROrs8RAckTueB8J8
pmom+VXuSS5/aAgYYf70Fvf4D6LZncqPMjJ8o34L1OXYO/k2SxERph8Vz30H/4JOUxI4pV8ZRwk6
Rtd1t24fwna6shbbU7X+0Yr7gPHBeENhygmcEKBkdfuxw2WQV4dwmYD3r8HenTslzXYeyGaXuf4l
yPB2RmLPNnVvOjoxHCwtxnLYxlGyzZzgHV1ms/hR4ojYLbDdHxER3SAlOWUD9+hEAgt1QvbWoKRH
BIDOPzEOKVC89eM7aV1+M7TxtVDKb2VbEAGQW7d2PlxLRb8Ge3s7xgCjEy29USLps22/62dAGtS0
5M5oswLAeGFykTMUyTWOw9TBvJ4X5wr2UmsuAAj0/FwL63aQ5WkGF3ONu54DF8eF2xFH4fNDrvJM
83CkXIoCSaCO5rAkZHysz63Aw2gZQMLj1qCSYKNEpcJ/C7ViLSF9vCxgngL1VuuZ/5cO6w9zPojV
9jekI2kdoeF4U60Zu66FudvxLIIexqaLB3rj6tNM2tesEe6L4JBiFOV8aT+aFNe+XdmPeQsNSMu7
90y2z3ywL8E4fgk5qsFyZd+Dsbir6vIx0co7LZ+kn/QEVE1GPu2nyM7xa8SXSDGfs8hsNmGJDi7F
R7qJCDZ3AZQcVas/aK295uQFN3+/q0Q1xP//79EEocX580bw20teNi8K5LmC1q/6/lPnhy3Doh/7
sfHTDZo4SyNlDpG3zR/9q/EzhFz/c0Na8LvWnvCfW2D9N2ICUAetC+LP9o4/++cW2PiNf28TLS3s
35fA+t/p+wzn3/o+KQmGsllIC6KJWEj93Peh2F3wpvQh3QDUuH6VsBRkNHXHQmNfq7FFbJAqbcaZ
lWiRaqW36Oox6sW7nagqlkNK6dmhpAGvfa1rcXfQEgrUxpLXOLe4mr2hd1Z8idkjcE0ZxThwOIwG
KiBvnd1sFEAkWbRwW6aYkLkrPFVmlt/rwfdlHsWGRoTtRJbfoBSONl0srlBakU4LP/WMRdtfAgry
hMmgRGW+tZkAc3Y1l3p6qaBwx904Qn2PQz+XxX5uAFSPUf+qqBWjVOoHndoZufOILzz51EOH6rYH
lYPs6Hbo5b7iIPIZYX1PpolqqzXGlStNF/NIcqXiDyrLMp4Bz6lEF9MIT51CjSa57oEsW3x8KhtB
hE4l2pOSG7guLgjorU1oEoLZg6nfDDwitnkAPmB0qhedhfNhWiif2wEj46K2tLsm1MO0gSpSB+3g
NioafjV5N0hSIykwBN4BiZixs41JMyl2Wtmwc04UpCMQ+0pGyFoBkbufuy04vmDLohk4MfrUoItv
hiVmT0X+0yYjnqlp8c7p2uApSY3ENc7braMuxQa9+Kc6mMDxhXAuSe7aOnPdSmSxsy4JTYqx7Apg
XCwDCJyhndaUb6lZfRlZBrtaOb3rU3YcW7HsDROX4JJeZZbjJrPSb8tRnBMNtepSUMuaYXDQ5/LI
ssc66AVH5MhQ1lD4CEItOcSx3npz0+yICy82yxSp+65M8GlNj10Lc6+rB3XL8IDPah6/0fmDnGbf
6YUs7m1nP5c4FZkI32P1sCHeSoTiS8ZUIKMMiRfW9hrcNLYIpKJqAiviKPtkOxfA6yTZYIphmmvP
RIpV4XcxrfTYxgbQMb5fQ2Qdz4fiEOigpUWFRCmcFK9g2m18jMqoXZoufx0DPT42eA7j0d4QCvWF
yDeBtlk+ZU0CYcXEZp7io04iglcZWbI4wKSgvBY2UjgWD+amVg2wCrV1NUT6uENHqLmVxXckVI0a
ejiXtlgd4Gh0x1q7mC3Ti6WgLmgxWPCB24cUlCcT25LHIXZp1XXUuj3+/rdj2ai7Mlw/z4Cvlt2g
RzlBykFlvDEDfmrrAwEaDuInzdkECtsam5npzCQyYyRprrNJKKMNWHHkAEwto3V+2QZzxZlR0cJT
YQ7xl7zCwsAatfQi9bH5HIOCtVWP8edwVF3npOY6MYU4P8JDYIoKuWZ6EgxWOwas0DX6b4x4Sfqm
zOnWKWyyzmPHz8mszoxWWae14zq3tT8nuOss12SoC1ZKu9fWOS8OBGcbr7PflCEw+np110bBUdZd
euX02t7GBfg6hoSLiKhwnkQHHc4khmGPvPBuIkwLf0iyEgjWv20FXVkV68C1SWpdnI4ptp1cSVwt
x7qz92WPkFpV1fnkmLNX1mW2xbs+3REUv9fH6gs5q/mTWvYkwBXJg1TZuE8WmZIi6rZjzr7PnrIZ
UWAI8gH4KS1YWp0+/5JraApH9MJ4EpLT2Ou9rynsqsMGucVGFqzSgC8qfo4z9krJkU+0zuSPdXLb
Ls1xCAfnaFJCXuOieAW2GO0nR8xnhVeHZZhE25A8ktEuu9sKWLiXhlq/1aaakCs21dEB/8qVVnY9
jYT5tvC9n9UMKbrVEUyi7gdmAPfkYikspE9t2CvHNFtst6Xl2pf646yl441JVIVbVXqFe1FoZ6dV
kEzP8mJa/WNMfIFvtn3vjY0MjyGGrJHHxLXBAG1LjudNuaBWicgXPmiluBPdqvksDcIPEzANGXfh
oePxDZSE+UdjJle5uoz7En3mVZleETJ4Xur+SSnR1jvVRMPUV9COATc2mKZ3zRAsMEtUEhRVGeHF
uIOIaBwxNRjkaolNTsPTZC1GG5YEVyJINplspus6spPLMOkPajg+NU7XXYNSQ0qlYQ42p5Pu2Okj
hM4tqLPpMUZOlc1xckKSLndNL85BY9Rne/2LaOJbHmrXbP6BdvY9p3Vj9m8iZxYqt0A3QLNpuxab
kMeWi4BcxxvL2nDjKU+BJoaExVhy8SkhkXESbizYfQtsVbajPzkzySi29gKp5QZkP4gOR7nQ/ZD1
sxgoY3q3Qv6vqixuGxRO0McoxZt8BkSl0mCHo/qWcJV7VmQRPxhwYajjJVXLxcst5cG0xtvJxNEb
Ef9u4kdzyPlj+Ya6RrSCD1w1tuiyHtNFx4ydI8PQuGq76msyE0og0I65ssIEp5EB4VZzeshNHN1Q
tCKvy4VPJgLRxiY0jzAEP1I048UZywcCrW+4W/MS/DAb/CuDl6MLSfy/X8z+v6yOhLH454XxpWEM
XrzFL2xHsn/sXrL//q8KlWT7j0ObvRTvP69Ifi+U+Xn/9KE6vwmGy6jkma+raz38fwtlR+BDNTQ2
EiRvrUJKdIp/FMrYUCErUijrJv87GyPqv+pklJQqWndU9IYkfoJh39+pk6nTf9iOSHyhZN7zF4T0
Dr/dr3ioaeDwCyPOUkB7UF1AJxC/SzFg1O+lDedFlpbllZne/H7F/STH/RHYxCfyy+s6a5XvWFLj
fdjmL0Ff+qxpSqMGjt9EtUUhqyKtmJE0arAU3RD7+yZqMT3izzwm89L8rgb+01cX//byNsYGXliz
dAs1wa+0KCVlNi+iWfeb3Al8xWQyO+jRCnuwkU8jOOz6U9haz0XHpqceWNHbCjdplQii0ovtYHfV
mcb4q2DLiY6yMNwhCMgOsYILFtF8N+TRtchx1CVZz+Ii695nwJx7QyYaIGlws41jXoyk/frDhfmH
yPnHT9X65X050rS5KjA2m1IXUtdW1/EPy67OVAncqArpC8JkGV3hGtAYA7mxgt0qMGHIPsEQymP1
u5VOjL9GlcOIZbYTPI6wBfG+xocOcTjBHVgbnCT9io/sNl5QqOr8i4itlRskJjReJqCKPObLmlyy
2A9xUAGeJIrZJU5tU0K2cKUOGlpUVJQMAzIROjtNTV/basUMK+9O2536hnJuMGTt5dFSewkNPjv2
m1Q5G8xRSaPoHSIxypfeeUpWaYvTAp6RoXEtNHQXXfNeWMHXaOlR//DP/OGDphb3yOexxEmG1SpO
2Hhq3uNAPk8l/6A147VRPywBopCpGRgRl/oh5YFSRGy16HJVQkNRSPFeoIQkW1ZwTwgyUdJHQ/f7
WvpPr0H95waVW8/W8L5a3OAcAQiV1+/yh+8KjGaiCSSAPr3UtAvGGBpOh8VrZqC2mHF8U5Wgp1pr
6Z6LPHoei7I9z1E2ugNzZkwHzuMQZmy0vtuqoh5lyGffwKQ8muQqHWvLQIxZyLO5tn9tIZnqluj0
Iif2+xCch+NMF4lNE6mBvWZYPqZ2NfkUlhbGyd66TRf8F52iBH/hRhdsi3+889dLVBe24P8Q067X
689vW6lGPIs2jzxt4cLsFPJuFQUVhOXEhLegbjSQ1dp80Q4iRLd2CnRBhJdums832PO9ot24Gzkr
Pr/kvrfdhRhc+BnNGTtqy2KFJRKUmhaKB1U3iJDC9rCIZEbxV29mXVT/+GZACBi431GNcJCY0jJ/
eTOhlSRdxrN/BZADGmlT45AnNehS07kZHafeV00X79CuzBsaAjTJufGlbDlyQrNn5tw3f/HpwiD4
6Rfi02WnbhODaKicrvzjz5+uvaxrYZpjv064s+Xgm041nyxYSNcpGPtrcuj5u5SmWS90lKWsqIXW
6w8VRDBzWPrjGM4ru506CNL/7LNTh4+biKuhT3K37WyiWFJWZGtYuJOV9xB60XCmULCW9M2qbVos
OaWnzLa3epWTs5KlHxY5bSqqJ3LSnoDwGQdDJN5A4t/eKtkXRz1bglIsrVcCqKvMlKlIle1IZDlK
Oj+gswT3kjwcf9EQWeGxHJe9uE8Ga7maMvOO9Yb6msbfIjHop3mVvVsxNsEFl7HVmv2WNFdi45Cd
wet1tguoYNUk2KZZpDxJJvxerr4zJGdMm1itSyX4DQMu0WrIjy4Mkb7UWn6dICykidTOedjczT35
SUlsVt44gdE3rdsu1WoekiNPiNJ6GFMd83EZqddpeTQnhR2cY7n/+aBfa4MfLzy+WOyvNvIIU5XU
A/ovqobYVA1y9GKdmUx0FwzyBdnON/zFL3UWphCtqrdAoIftInaPndIL3JlsVFs7mv/iQa79Ql5E
YAwUgyuf/FCoGRpcjJ8vucXQswaDv/CV5K4O2bxGRfAQZgRTOplx4IO6Bnww+1EW3SAG/x6mFoyF
BIZSloTk9WC+UlRov6nO44k1BIlrCQZu+a3NZonktic6rgePnn0gdrzNZJfhb47yQ5QGu34aPsoa
mXqncVopQAOJlzNjdqYD5UTh7PIEGbA10hBFM2okios1GW5wS2v6Mmd5AzB+nL92oeSxXyUEGfbx
/DUp91VO2lSQ6imB4Wl6NKLymA2IKKa0Ln0nar42iZqgLm0Y35jy2lL4mEniYnGAehnFqPjaaGPp
QbMESqPkH0ndg89X0CPbg/VkW4z+1GA9xsvszmn7FzPQqp2GmKQaDNI57H1I9rRnjflBLeXjknOH
FKYyefZUvBg1p4kZcMpEVUfLZeiHucxv5bBckRo1uTZZCJPV5a4mJegl2XU+2udr9vOzD+qJTKf6
VdrG4sdRyVAwNN/VRW3u09au7yvF3sdqp5w164kIi9lL6lH3eRoxO8I9M2FcY+bqlnUttjNQwTxY
YyCXsmPquMdUnVxVEwa3KCU/qwT3YU9r3qJ1N4jF8OASK39VyK114r/UPZ8XH/NdQSy60GkzEQv9
9BCFt4SgpFr4HQEg2gMa+WlilmvTQ8emVW9UpNZXyoLHMBN+P7U4P3kayJ7v68osJIOdJspdPhUW
BqoAXmGdjS7MXbBhcv+f79l/P5otiwESFafBaBwx48+/Kkih0UntGTu41xiR5YaqGbu1saTeNFfE
bqVN7I+9vLdynl//+aX1/+m1LZ1hPDN5TeNR9fNrV5BClqWzNF9Djxet5G8Z8fQNFWfPpOmJDKzW
y0fHdPsnbiXbU/Ke77XnnhleD87AozkviATr2uy1nPW9UZeXkeU3BoDpO0ntx2WOBuZxwz62zftK
U6fPinMexjtGQrvKqo5WwCnOetKBthW/JiozLkDd1z0/cZRILRsJ+6+yjv/5jf97sWEhNha8bQnz
hyTjn9930wyML0gn8Xkq2d5o2s0uyVkdKibpaHlpuopoy7+4Jn+p69bzkLaGYEDKb41XXX+nH+o6
o1KchImR4SsWg5/Fzi0PGyz0iqr9w73+pzXkLxboz8ufrQnvkA7TVi3rl/cHyI9RcatKv3eg4sWh
9GODU8gh+2lHNAqoj9IreF13iqonewTELQgY/as3/IkQ+vkutFWDGRGnP5Fatvilm6tHTc5Whowp
QOkFTzfdBGOT+lFNFT8Gi+obWE9dKbrq0JiyPyam+TZpKN7VoHjGS2hfSR4tzNvX4emI/WMMz4aG
mTvUWa+USbGt8RMxxa32oVAXz5Zowhe1i70MdR/H0cCFHdwLQWh0FHXNRjTRuJ3NLHcn4nlvCpI5
48X00nyqEOeh90titdnUdfaBnZhNkcAfAgamitdIPeae5Vq2JSlHw6CrT0pHfnFmwefgKdTbdr8Z
F8JrWkISyymufT7cfbuQespRtNHaJd4NlX4qWlYXjkGEE+fwd4aYN2bqTBvjHI117FdVDOZeYD2x
a+OtaZh3JdfJWqeUDspEeyYbhqzoq5oZN1UQQHnarlmyUkWtXW1jYm6mgCiCUfvqDGHtO7EwGRtR
T4lEOYRawUaFTD/XAr3R8njaBcVC+l5c+mpLAOmQmcLr+9q3knj2P1+SFK9vKF/UZRn8z5fPBfoy
1DPo/to3xZqf4Hd9zUwDpUBJs2vBnfXsrCs9xuV7SoQKRhPK6Xx4qwGpwkThqTXqrK/p4lFvFNlB
1KM3EGYnU9KvCJOP9lHD5Fe3xteyiyQ5i9qNiQnGV+gh6M21p7jtom2phBd6eWzZbVNtB239uUsI
agQTX69juiuKfHX6sFxOkTxUrW6uUUxHJ1hIMTAtKjV05xNm+cegoyDojIPCmvwcaQbcD1F07jwq
w1nt8OZJnpOuZPS6Eb2SvKlChdJLixn0UIQB3sIPSGdXUeVbUmXQg6zxnFkhHXGQTxvyr5Vz0+p3
lYW4pBKGRUWqHY1S1xHQUBkYEfnb8PBx4MW9EBsrICQxNuvJG1SmDu1Qqh62zC/j0PR7q27JiiLB
56xrIGmHQO28iBw1awiZ1jZ8xDgPz+rqbKlDsodxneLNGBGhsbV0kg9QKRTgFcVfU2NwQROwxY20
sUxalaGAv9GNcbxZUPjuS7t4msHpLcvCFSyl3BeUy5t6ABsWKbTeqoIMrYTR76c1ApLRyXsERNFr
gWZwU7RdfEIwA/1oN8W2fhyIYWLGMT8KqXlRXzp48nS5b2bFvuLcPHDq+hY+9IISw1eIRp3UFf5o
c2EPK5s0NjKxxd0L2qUV5ExovVfFzn2kDDyQhtdQUjrlODX2L006VmQzWU+6RKi09KrcT3xEERgF
ZK+ULQ6cnc6fZY2nrBr7XdkO+qZHjKSPY+cvCsnVYu5pVoaB1mV5mqNkJkGLyG/ZDFs67PulooPW
oVz7FpHt4ywbcrjMEM3UKiXFm3aEtiW2KE6Em8AN6gdStFUzIU6K1KNCk9o2MZtnptcXGdL9fNaJ
NcEnleqOUxh7yRC/jTyOsfW3iEYt+wZMMEkTTTrtUYOwKwyIwo6s9HpIEIFY69GgMwoHvkEAsx33
+xHsZFfN7xbrScq/uy5hQwChIFn3Hd2J1ALmLNhuOUMOZUFqQ52HzxFkRFpveNZwZZ2Nyv4a9HT6
QePVs6QaL41okPYMuFs/+6fS4MlR42alu4WqhOPCuVky4wjJDrdJzekE+GQ/x/HD5zsMw+ASD+lb
XfM/m5TxqU5pu+K82rFgj/2QSmhbUcDCEbjuHZ5TORoZP0DOspCSeGJThVLKqW4i5FJuEcDcaWkh
NiPbd1Yx+pHClRylweg2lRFFK2KMsiUKbOgWsCwd58kq0+gcYPTdEO332EhxneRsHbjfUz+ulC2S
ZvZBUQieSKme2jFASiz4qoQ8hRHlT5Fm34REHNP21daJOoyh0XMcl7rr4AHx7GCiYeVCnPg78KEF
EYjrJQnm9CCMgUOEKchuIXEJjcBWDlzpCNH1g8mcsevBnNYhuLD1Lkt0VpgTWx2sTs+pMSjHUidE
RsnWXA25A+TbORkG5uBDjPiuzaTOyc2uPYUZjl+H00ucN8R4lGICNTupXmFZPA9YIRya0DqrRk3K
ddSGsN1aoHKcKWE35Tvyv9CpDgllCj89vySZjZuy5EpbCuV73clrveR2o0lAg2W+icQCfpLnV4MB
5qdTylcxzV8tZVGfZ7NzPC7nfSfaCQAsn5mUNXBR8mtLO3tu5jS+DDWL/gJUNrlU+nVWrI/mkaNp
SqbnfiYfphzYBg2wySO9y85oJrjL5ns9roiRhD2PHqK9QZpfEUnc4w0239dr9fOuV0o3qlED4Zt7
tplT7oUep5uZ75AWaHzodYezpaR8lenFWQyW4XqKnUpTeAkYvtuwydhIGuTDpFoWexNiD7cOu+VK
V8VyFU9p129wYG3h9QeIkoF4EWANJ6zEZFb29d081S9tAAoOlazctIZ6lWjtX9RY9AmUjb/UWALt
jBCSfQC1/C+lnlloehfPOfy9ZMKYtdfRGm9kTYNpZjync9Vblgn/gBW9qjW71lgXd9baBCKQjL6p
gvQZy2xQJGOdlPF8HBAilCbjtLm2Dr1ImZd6kUddtIYarNX5ZH2MuVdE/RkX1zZbh6Jm02FLWlSc
d4ZQduzFTlMVvYoKFlpWRRm6Z2uTDMGDSdKsGQAQi+wHHUZN7zTtRrWXaxzp49AjImZYOzVIniH7
vdfJvKYl2ochcx5QtjGgzlpk+HQoRgx/deFGFZO5x3/nrj8dXdI1i7PXPLdW5Yx9E429eT+UI/dS
tBsIzkUabnnzzKOE+75jLFN4cZD1J6sRmmugqYdptsc7vmwdfPhuPOD6qzWDCWRPWAOTAclmkCek
glGXDM2PJM0r9/OROAlCVgdzT3LOcdSSOyF5NbK5YNDN+bGs5GFpeL4adX0OzdfZ5vvpK36wGqgE
QljDxZbTHnkygTJOcQVxYto0Jd+CFKbir/INT4VXYzcfZSX4dPDRukN3XVj02UnJoHbJHtWBfty2
5kuSgiuWI22khBx3g3M2IUY88IHeoS2fAr+u5XUu5HNSOFQZAjzEPUSfZJMi0nRTJjOpsX6r6+gV
dCK/RApaMajulphhuV7YDxXRS4whYN6IhbpAaBtYCLYXQ5DcFoJxgCEJ+9JC6mkGiJbCrCeI6o2G
EFrl3MjWplGuB7gRqkeFNFn3k6kuTZgGThslNMEEMQ0hanN0ziheeJca77sPgqtK1S9KyH/z+W94
kD0yTHThz5+bhGBepfQns90lnTxPkbIPI8pytVv2i43IOuYhPXZKseUWw42s0tAnSDedSJxlVn3U
81BczdrjpPHkWAxua5MpCdGV6V9Ox37uBk2KFD4W+jBGrOTEqL9O+WU3ZaSkYZa1w3raN5oyHosR
X0Gv1c1drAA/hUrNMJYhFqUUpI8GQekA53TzOTXLIt/sGJEVMB9IRpBIkK2PUtG689Tp32dFqx6N
Bcz+NCcXpJ4es7hpk5VK5GMT0TbWTLp4nwg3w3K41RF5xyhdOyc6d4mNVnlku7do2qZOEs1dpFIx
rxt90TElmNrbNqFpVjuREnsAoR2HFPNw/NIB8/cI96Fp0NGWBqsyOWwz0cHB67ie5qwy2civk9gW
FKTDmTEaU7iFp0TmyNwg/LalTok04flL8SZ0xLC6gx2j08iYVEKaYKqqn3K6PLf9GuB6xutdnVTU
NLfTpGwKNW68HBVQnJCWK9IbchQyt+u4Vg1Z1a4o2l0qwKzTqsw9pYUVGjho6qd4qXmRUvNjaVyl
ZSo8xfw/7J3JbttIGsdfpZE7A5IqboduYCxZluXdidPtXAjFUXPfF5F8pznMM/SLza8kK7EVx1kU
YHyYSwDHcoksFqu+5b8EF1amLh1/eDtycGtTygHA2yqAIBkttbQivlHcGavNP6VbtomEjESNiKy8
RaORh8VdciizyaF2u9u0ssVUBc2MpgGpaxiOtOuKZvIB6O96VRGBj1K0NCznDSKGOCj03sLX++I4
blJB+jCS4vBGOCOvX2HmCLXm+XqIkKfE51NELseRgeUQ1VoBftOxdzL1htpSAJZSPyQLCI58u5gn
9Fkn9KKnCALe9hlRh5efesYKfHuWvLFlWAWwtuMkP/RgWk/cUp32HLNwt6wO8at4ViLPO9ZKjnZX
VlNwHokODW2O1jB2qDJkHxXeTToAOko4NquRVtCedAQE2Zg0uCAKakVyHBrCP9BXtXGSq+207JHk
MAa2w14nyrGCE63MK/CJ7eV6Rv4vDNW/7fPl768WH2F2IqdRl8Fd/QjTCznT1klKHqwgqVt4rzIo
5Q5/f3VRLmNADouv/OGWBmqg7IfeEjBbQdNZIn63YGDrNTUMmnygCwwWniM+YRwUeKCUQSXRExlB
ghrZSXsIc2CVUtiFDLrGSPyQViBaUjvr3qBHQq4OwAH5KQPDQX7/oCjno6GmAd2rJmZNI3QS9oFj
zclVKC1M9ahRjGla4d04B+xOv14big8rW5DERpGSe5O2GCil97YDnTCCRDEOdR+ojuZE5odANBkm
V2pnkKH71TEcj9XdUOWadVCYfvdXXijtDRY12q0HH/ANTh/xW7tMuhvsjK0cxKyjzYc2jqfViiYY
vY2inVsA+AHQI41y1OcG7Pa28E/TkF2/QUULElUzuJdsD8Wk4XWC8OBEnCN079rE4ebKvr6y+kyG
XW0LciwaacclYjjG2LUy8ySkMXNeqYnTwlww/PM8qugsJB75KDrDJkeAg0WTi8Bh4TkQNaXjrp/D
e50IrUwhc2mlPtfSnv5cuUqP6J03MyArBWiNnpM2CsuakQFM5JILRn3M6wKY7Lj3wNlDhos6oZ2F
OOiFnVb9JTr8Ssci7J2jysHAakzDkjxYDYIIVlAZNe+4B7s90GoFKoNWq+pF4nnZKUetoUycVSHe
O5rdoYgM9hnlUozCFTVoZ4MSwXJ1GmwfQA6fZ7VuICNsudD44hoCDW7JKY280sj9ixqg5nXT2d05
pQToYZ5Qqct0niAlDt2a+3e6oPeBfQ8tArgii46KoBDLLK3Z4yl/oRbdKSNwXR6yrYkG21YbRpeY
9xVwPUuM1/WsVg+90hNXek+D23ZKh7rgKikuwAbkf5ci7Q+8qNMWnYnkbKYD5ysFbllIH1HkDJVq
qcaOBUgUyYXxQGKMvJUJHa4ownkr+8lg41BalP7RRELXQwagxg70XiL64hMrKTE68KvubzfMzfdq
HvqXfu7rK7yIapDPCBE2NDv9Gu0Rn1JG54QNpSYDLfpBT9CJ9ZEXLnuzJdvN+/TYagmmOhcRv4Oq
gGZmJTTknF5BusMakU0atoIhuEcScyDApWpjcMOoGmdBZb4fgtC9ohPWnga2Mpr1iFBn2G2GJRrg
GKOYOhJVSUpZxHFq+6RUU2eZRJ73vukKXxxYoZsdgqxBTNdX+3Fg1d1ln1ILDBO9/Ohg+XAI6kUn
X8c42tSoMTSrFa0uoUMjjYYIVRThUVsKbX3iwH4+CtOyeNOjgENRGTWTjL7eiWqMqmmo6g0dZ8w6
CnIPfK6FKi2BUMU5U9LSunHVFu/01ESAlwBWT94FYZ5Pi7BcUSd2kWnmzc2PXQRjrrtGlDNqtxjH
VKh+HRk0u5cpIIfkQMFTiRym0+0p+lTib8DpBURyN7pI0Dw964gN5p45lDdaJeLbPuoVioF9QLm3
i2810QXvM5+EGGBBFp+ZarD6M81jxHg13KffxYHaHlL2XYH7sKNlbcvmd9ev3lqB01+ZZQeFNULd
5XKUFdKW11bdo6xvyhM7TNCE19sApzrdfG+i/oOBGITtntgqsKhbKmkEgzFO/0Q0Z7iNyISmondD
CBR5N8cWgKw4qogpQsA1nZt7pwOMoXdKUVegu5KaGi1aMIUBzzspyZ0qJ3AAn6MNofZePGtVWEF+
V5tXCjUF6nur6gi1KncM4T6lNkXzhrRH4r6r+CrPIsTkS/TcS9sFyOVJ+GaVDbPeJ9RqVn5+U2kZ
9Q+lTdvzDPvZeZ0IeyqqEtsUQ0NOPMySqWahW5EbKD/haNAS4njFHfRWBDBDMZzl0ahnEwQe7Psi
OEzstJunFuJQKczTK9tVkOIKq+Gkw0L3qBZOMWlHZnTFXa4ukh70SUrNd6IWBNRun2FO3ptQlQ1g
FsSazUlc4UCLrld0iWa+PhYkTzM0ub2TfNQXi87TEQpzaemSxEVneZG6J3pbj64rNw1veppvh5q3
qsaDixtxrhQRffhMPy5LAuzOjgzoklAOyxxCLxGBdmb58d0oIGmqdSeBralUk8arUC9qAGm5I5HM
0BxtLhCESa6wW6oR5qnrWVU1I8DsmAXh1RTP9SBDrY0NnwevCP6JlXnri2tB5bWpnQXY9Q6bAijb
pWsFM2c1UEFTRuIg07KQSN+MpllpKXPVNuqbHpLWdFjFDUkQD1JLaJM2AhZFpVjlJSAI/NA8T5xV
kVccicipT13XdKZV5sYTT3cVWGgorCpmf8uKoCED1X8MKSQ8TywX8kXRxydh6uqTTGApA22gCjYd
1h8KI385Hez+22VU9oVG9Ebc9F5Bem2L+Tb7uQ+tRVO/OtCPiE5LrNcjHO36utaq188NEy8Qx24+
Em5ijKoiBUpQqBKvARAjOI0zNvvNr/GUe00iTYdV0PGXrqpgTfjCB/P0tZl4/iavl5SmH2lyfznO
c3ewkWM5/vj7K2xPiKnJqvaaBwVosKUC75F4GmFZ1A92JsJ5bfMBhFUMVYbV/7OJuIPlAfrueukF
WfowSzB3FWe/shZ2Bvi8FhSAzkJqj6uYJhianI2dOZCL4aG97otbCQbQ7n1XwmgDEgefDaSA+pHU
t3n0SmBBbAidsIo0S4NGuJn3F/RKgIGQbFCue993gkIa9FGWva1qOtD3nZlAftgSgOZ1bJUc5Olf
3OawmQlZAtxvJtBIMjRw3uTUMASk9P3OVOB+BcgHiUABPHMz8S9oQbBHIh1Nrr/fLGivqRvI0oIp
cdToO/GuPXozEKfSTROhauSqJUl5M+8vayK48t0CzFc2yp1CzoONEv1szkShgfjFnQxI6BOHBZBr
wWqhQr9W1JJT/6Imgr3L4bL3WxGselXivKgomevzU2ML2FkS6zcGJBhoJfaIF7gkYG44m51rAwOT
0d8PLwntte5QNqEOhh4W8Yi+uyRs1ozFNCAvQnL/Q+/Gd6ybT8EpagLxx3VYGiyrB/Yn3/zANl77
coD7OEwGW8QYjz4nK56bkTcBmfz5j0fvzXrRP/jl9iVYf839n9/f35ff/Oi7tje1/c9ZsCwX5R2I
mrXVy/1Vbqqob5vUa8qF3zyqo+I8uHnUn6/ni3Ltp/fhueEvg7u1aMPu6JtXat/Rj5pF/1gH8FOM
u+/Qh1XCpMUfvxwelOw2mJRP5efm5TD+DYul7Tj30flmw933ylkcyQfkMobd4TcH277D/2tg0ncu
fBNM7jvyWK7R4OHQ90EJYeO+Yx8nHxYfWOfbkeSM34/O0bzv6G+auyb58M+/s2o71oPx2TD3Hf+M
NgfDbwd6MDiHxL6Dny/yRyvlPiYmT9x35HFWZ/mie+KRyghr39EvF1W9GJ54ohJ+su/gp3Bor59+
oJLPsu/w3zC5Wm/TP7+5jBf//GdRbq/y82qRec6+V/59fix73sBpFj71XH/Bm7pREvqNPfJZJaE9
r/8zEXs74Q8ewi94Zb/V+tzz8r/DyfgXfMNPKPs++61PxUafMgke+JPB3jc/QMwmB76Ll4vyj/8C
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_xlchart.v5.25</cx:f>
        <cx:nf>_xlchart.v5.24</cx:nf>
      </cx:strDim>
      <cx:numDim type="colorVal">
        <cx:f>_xlchart.v5.27</cx:f>
        <cx:nf>_xlchart.v5.26</cx:nf>
      </cx:numDim>
    </cx:data>
  </cx:chartData>
  <cx:chart>
    <cx:title pos="t" align="ctr" overlay="0">
      <cx:tx>
        <cx:txData>
          <cx:v>Por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Calibri" panose="020F0502020204030204"/>
            </a:rPr>
            <a:t>Por Region</a:t>
          </a:r>
        </a:p>
      </cx:txPr>
    </cx:title>
    <cx:plotArea>
      <cx:plotAreaRegion>
        <cx:series layoutId="regionMap" uniqueId="{7E89CC7F-41F0-405F-997B-1599367E3D50}">
          <cx:dataId val="0"/>
          <cx:layoutPr>
            <cx:geography viewedRegionType="dataOnly" cultureLanguage="es-ES" cultureRegion="EC" attribution="Con tecnología de Bing">
              <cx:geoCache provider="{E9337A44-BEBE-4D9F-B70C-5C5E7DAFC167}">
                <cx:binary>7HvpbtxI1uWrFPx76Ip9aXQ10FxylVJKS970h5AlOyK479s7zY95hu/F5qa8lCy77GqgGpgCBjBk
MZlBBnnvPfecE6F/3k3/uMve3za/THlWtP+4m357Zruu+sevv7Z39n1+2z7P3V1TtuWH7vldmf9a
fvjg7t7/et/cjq4wvxKE2a939rbp3k/P/vVPuJp5X56Vd7edK4tj/76ZX7xv+6xrf3Duu6d+ub3P
XRG6tmvcXYd/e7bub+fb9tkv74vOdfP1XL3/7dlX33n2y69Pr/TNXX/JYGJdfw9jPfIcSaQE05gr
JqVU9NkvWVmYz+elfq7gC5RRjrjimqrPNz/c5nCBn0/oYTq39/fN+7aF53n4//dxX00ePn7572e/
3JV90Z3emYHX99uz6K6/vS+bZ7+4tgw+ngrK0+Sj4OFpf/36ff/rn08+gOd/8smjkDx9WT879U1E
ouyXi6b8/FL+gojQ5xxpzjCiTGjFlPhORCiBYHHNCWaKsc83/xiRn0/o+xH5PO5JRKKzi79ZRP69
QJF8fid/SUCgvDHGWnOhJSKYf1MimDMiqVZCYcGQ+HzzjwH56Xy+H49Pw56E4983L/9m4bh0d9YV
gI6f38pfEBL0HCOOTiHR4gG/MMDSV7ClngNWQTgo5YxpgvXnu3+MyZ+a1Pfj8mjok9hcBpu/WWyC
2+IWgPUv7CacQIUoaBgKYSL001JRz7VkSmuiIXYEqyfdJLj9n//z4wl9Pyafxz0JSPDvw98sINBO
m9vi/qe18l9saIF1+buyuV3+yqaGn2uGhWJaYIqVBhz9pl4lEQJzjbgUWD6t1z83qT9IjkcP9DRB
Ntu/WYJEbf6+uc3uf04C/4spss3f3b7rm59m6dfE7Ec8FD1niGNBtEZIU0Ix+SY/qARaJBhBCljR
Uxr6Z2b0/ez4feST3Nie+3+z3DgHNH/n/kI4R88lx+zEeh6aKdTtEzxX0IipIBQxoSSc+9hIPrbY
h9n8z//+/OH3uv73I/Jl4JOAnP/t0Py6LwyUie3/wkrx8HOiGRUUgsIJ04g81QdAfZAE4sOgCSvx
DZT+uUl9PzSPxz6JzvXL/9d77R/Jysfs56vv/KdaGj9nTElAKEoAzE6q+jsgJkBNnwDsabl8Ubl/
PJ3vx+TLwK/m/l+XzX/cXr7gfHjb3UYPRsUjVf3jsw+PCObJk6E/Yqgf39f2/rdnGgkOIuxR2E6X
+QqUHifwdwa+v207MEWkAn2hMIJIge4DsY2f/TK+/3wKqCuSoD4IAelB4VRRNp2FYei5poyDJoE+
hSnSCkMCtGX/cBJDVWLETicZIVC/9ItTdFlmsymLL2/m0/EvRZ9flq7o2t+eYQkCpvr4vdOjCrBj
qJBccDAIAKSBVMP5u9sXYEedvv6/8phWOkF0CRdaZGdzSdjZkidFUBPCQscWvhn4ZP2uLaaXSLJ7
2zpz0ZjW+oKLc69r7izL9E5gjxxlgsiRObbmZBz93qunUFha7lVhOj+pMfW9Yo5X/VTGBzW2XlSn
5Fo7zxyFVEEu2PQ2qTsaiVqcxWnLg75fhiPp6vHIR6eizM4f2NTJQ6qX/jizVAfaDOPq4bBAsQnL
PMvDSVm+ywivt9xVkdfm9JVX7spGL6+tw3xXTdjnmUdfa8I3nkPVlbVyPLapPXZxqzYVWrCvclLF
EdfK8+NM4lXHt0mh4xdzz2xkzTJFjejf56OOXxa26COhnDqjwzDsqzFuVmNj3bWcqpCoUfouc83O
eOP8avC08xND4nPUxXY3zHbytZhMkPCsPtDGKy/r2jS+y1N0MVdF7is+zlE/0mYFb1Ze53PWbxCa
vWAk+B3PWbb1FN/Ny4LPl0webGGyC8eSJTRpOoTzjNOLh88efst8jdLWb1DmjkqkYp8U3hIWlRq3
TdK4IKVlsU/UkPi0GdxVM0xx4OlFrOuCXpZzPR961Xo743juN3U+XWK7SJ/iCa3Z4nxd33aLdzCa
xEEp3qjWNG+yKstCi4d6NxdURWmqZVjbLDtYkcVhlaAeXo/CUWtqtmXtmLwkzB0wTspbMyQiMJUy
wTjpbqtjtPiDIvhWmfpdxfoPTno6nIkgQYy7Ouhmm+8ntOT7nKGj7HTYyKXeu5Fnr1iR5pCyY33e
T0v+CufuZdH2hyqJD2PHknXbWP6yrNMsylPprfIyFG0MEamaeDfP4xrb0duTjnv7h9+aRZcRr9Hk
s9NnDyfGrFL7crP0IO/BXf2EfF9V7V1ZzY0z9pPF++XwX+effeOHYb9/fjKJfz+6LnP498Ov/OGF
TtP5ciXAkE/TO0HfVwffIPEfYO1Hq/oPTv5ZIJag8oDCf/GivwHiz27jYxD+NOgzCGvQBI9wlgC/
/ATCQDspAm6DwK8Gr4FrwNnPIExPhjagsGIE7B8FBurvGEyfA3YDBEOTxhj+R+Q/wWCJnkAwA54F
NgdY43AbyTQQsccQrHpdw7/KC9u2WFWWb7rE5IHV8qa4kgO7bqk3BzMT62owe5s0iV8vUJYJixaR
vrMtObbZkvnFUl4VbTv4aeauOgDbIeYr09t39VlB7EHh/jwm4mDH9s3QLC8X3qx7Jg5epa8TmkVE
u3uT51EpxDbR+SWL6wgP6RvsdFCwJvNZLHY8KcoNHeWBehYHPTLeup/E5BfJnPlV3vi9tgE0m03l
+CpTYoV7947Q8kpP7Kh7dqyGeAfAE83mbT17bwZqhV+PQ+13/ZGzpPNBRdwspT5zg2h924esqBef
AYaDyvqSJt/rfOCmftX4nr51iP3jt05UNecdLb2wTNQ17ryt7nc6qW4Yj3eOxdeJxktQNzdSpdbH
gm4IAjRicjdmePaznLwdnCx+MqsTe/t2VhgasYaUQPpk2j+eFaTq1Mgq9cJCLpt89nnSJr7O9KFh
/XFh5dW0yK0szL7s+AsRu3XpWetvrbEfRNuH2OY3nlCFT0p+rdvxHGWZPwzxhqLyaqDtm7YaVIi8
V9Z2c2jbuYti1G7Q1K1wLnbUOhu2S9UGI62v4q7wPaIOvOvOqwT61kj6y9bhzC+b4bI2i+9Vngmn
Lr7NaX5ZD8urIk2PY7OukqlYd6m7L3pb+l5T+GYQK1GbvZitDXlZX3kyO8uq4Xyi7fmY9H7u6nWe
wGtvytpP6XKNZxEkLAcOovxU4yPuYhcwroTvCngvjPixW5CfmrjwwUtfeaMAZfHDFFHfj4YCP0kC
I6QnkvY4GoutOoeQ9cJ55wySPu+c8Gdnl0C9XAgTPksb6gOJ37UsDthitma5MWUXJA6/cAnMDOBH
+Unqo1lu+RLvJlWOa9utVcVbv+rtflyyD2k+dpEYurcZSQ7M1SjUpD4AFWI+mW0VZW0diBptLYaa
6Bs1+aXJkT+PeXU2Nwc+qjpYykT4VvBD7blyPQ/yMKUQKV2Xuxz1SWhmBpkAGTCN+JYjH2DxkAxy
W3buXZ6x9aDg2gK5TcInv+nKK2LduYk/8Imv53zx+3JlBVtPk/bnyvntnAcOcqTCZK+jtwNWFYya
SJTaOQ15EU1VcqV1ec9pPYY5nJgF76MTJC0tQn5sez9jyG1tK4OW9MdGyGsN8JQ3Sdh2QB95PGW+
1XYKpJ4u8rmqVr0NCzTWUa/jKK/gzS9NYX3alYMPNCKBNDhb5HBI2vxmyNlGjdOrZPAu53rcxc7d
x577MJXyOh70ymlz1RsvGlD7JnPFFUHlG+BCOyv7F7XZDHFx1dr6qu7zNigHvpnyqJ+Sm5YFnRra
S7fI0A1rTIKKe++kyObIjnZf5uYSJ7W/tA6YFV25eghi0/uyzs+KqqN+m4jrBQFtIluDhlflwg8W
MmNEfUBkt/ZEdjnNbD0X7eQLNYXcvS6ala5Wqn2NXL0tLFsb+SKZr8e46ladp7ZTr+7mxZt8JQEk
KcK1X7W5HzfQJxDfmiLBYe34saXyWtblWeHZD+2I39PhmgnOA2ug3Ilb2QxPvi2GK4p9qqo3P6ml
E3A91hkPcKvA4AEZBPYcB+P2cSnVuJlqZ6HJFRXUMe6BeffS8znXl5TbYx93YSrzyzjug6rF+9l0
+0LMAYrx8ccz+S7uP5rIE8EDZd7RRQHuI1ZeyrwPRV5e5rHZkyqLfnyr06W+eWYQeRIToBKIn7TX
I201CUljkxVeuChoyzHzdk0LEJh7hW8zthlIGlU43v34poyfUOnr22LGAFgw5RIWSPgJ1R7ddmh7
Y5tkMRHxshp69/tYJ3rFEVv1ntiQWe1IgQ4pImlIvCrxh0Kdx/HlMM3c97Kq3VuG4iCNLQ0QiLLA
xtmy8ognfT0NatW7ZQmYQbfWdFMk72rKVz2I1tCNzUqWVIVeP5/xEp8rMzFIyzkJvDpe96hAGyIB
3tuKX0y5Jhs5mXdy7hZfLFL7Ix5XPAPQm1UnfZvg876uLzAFNbZkGQsEboJJxePRDWkbTJMFIlRi
AVjkp6k8xyatAzmMS2DGxbcoW3b5mL72SA+dpU7f4ngp/Vmz1NfMjn5CU9AliZoDlUK7lP15AawL
97TZZKTfpDR523aJ9kUxlmE1CrNukyXq7dQENM2ZLxKch9lYDFEyTWilepu93KTEDlFRTWzTVpK9
AvblQwK8aUbXbKt08g522AypFrtxMF1I62F+RfW4M8K0x6ps22OTKb5i4MYFiyhuZJ8vASJDsapF
Fb+1ZlgDkcQvlUfSPSL5mYnpPWM+Rmlx6ZCaLicvf9EynISDNuV1OakLvVCzTU1VrUdvfm+wTV/z
aS7DBVThpfKKo2cwoAm7b6HTvsuy/jwFohaZWNiVmuI5jJeeAEdr6rNu7kA55yj3J4/FB4qXKurc
RAPPmXdzmyeRUXUTOiLkhUwLue8rueFMNHvTu5ANqveZGM4gju2malgbLsjLw9rYc8DEbduMr8Vo
Zajz7CUy9ZUY4npbjvu2BJqqGw2QqF0XzD1yoOQA7OsJB53s4PJkGKIZpd6GCcK2qOp5QL1ieEWr
KV87ky7Rw6GtWhfFs5PrUdr5vG4Kve4KnkEwebKhNEsuUDMmFyqR7qJMwphPqU+TvjvrSN6+REMt
fQ/6+q4pJndB7XCXv9RLdVBF6vw+of6kEhOozNZh7vF1iqclwE0eytlr/LIutY9SGU1SjNslvy+S
mh4WdoNJvm2nePSNriRw3QSume7qqU6DpKvRijb5odP1C0PUhUPdHg8lBC4LLPe436F4k3FzndIx
mPJ52yaI+7xIqxUviJ+A5dDVeYSrug3bKg76eiiDZVF5pMk6Z2bfCz0H3QkGuqY7q/Wygs697bzR
b3NxPbtsP5HqvDPLq1Pvzsfah3rdGhfvOLxAg6IEo2Pf1C85FEFpmd/I9ujK6qrl5Cg8fZ3RY4b4
Mavbc43sYTZ97Ndce367mHuv4jvUyqO2+Vm5iBWp0K4vxvvTnD0znucFv1YJ8JhZbfoEXCt6KRq+
Np7eqTF7J2QMKaXKgLNcrIrW+TQWWzlSn6RD6+exJyLX2HdcjufCzVdxio1fTnA9ZgGRkeUBH3Th
N2x5t+giNMBwpCcOi07A36rJHVd75IBYpTmwIyP43exV92Tk29mNl/HbRdNN4ti2KocQFQ2JeFoP
fjYAAV+AhvvJkkepGU/mw83p2nUxvppEc9PfT2h+RYCtOcKvwYu7B5puIRP3lSF+PpZviqlOfMfh
MYuiAsZVbuc+O6tiyDHgh69omb9rh+rNEO8J8d7OUP6iBm56ov0nGlO8JpA41dz5edWfGzCvWteH
qciulszbARWMtG3e5EN502Oy6equDUtcfmiMu5x6SC2XI3g9ud3QYonGdLis+LChrnuLSOtt4o4V
/ljjdmOkLQDcPb+ZWOybrgpHgY7jUtwI1Xchyy4UbVCAEwOctRB3NQfi1LdcBI13ACZymGYrV+D1
VH4BDp+PEvaKl1AnJl/WBYNy68f0iuZ3fd/RrR6Xs8qo0FTyPRh/zarAuvbjujkuFtNwMuoVA28v
y+dilxoH3llxQ4iOg0LbFwq4LxXmoGNqoAwUCTD1Bp/r3Pl17x11zM+7TF6DBAvjHBm/qEigZcfC
GcXHvKcVlCYOsMqhCyVN4CkElDcpNomFX9K+folQulM63+MZq6DszCEbm2lXpXMcSFfZwGM6iWzN
mkAN421e2LAr0i5QKH/neu7X9MyT4VLjPnxgBP/fP/q0cfGrBYvP64QP7jZwvy+C71vr6PN+wN+9
I3HacvXJu+fPsQI5yTmwNwVLAmBDfbKNNGx2BEOacIolVeDqw6lPthF+Dp8oqU/ePuyqI4+Me/Yc
DCOFNQxAsKjG5H9k3MuvSR7HcBOMhFBKc1hc0OxkKj0iebFBXaW8VkeAZFdNXog9PAX/+GOKVdH4
vx//frrSotngheWgYl35KiuICFCb9i/meBmiqdTeAZTZuNbQ5PaiqvSWaFtueTOQsyQD795LennR
UmyixfTtlWnsEEAfrF5nqq58J7z5Foji5dikgCYl8DELuASm87s5K97mlk9h01TM7xKVXw6nH+DB
rxYx5NAOpje2nMUGDaQ5yNSWLCzHfh1bWe4/fdY2h2EiPfBBE5ils5+OZAoncorEvqvK6OPQPpab
OO5GH8mmPDRqtgAMMxLnTRd+PHo4YWdbHrQo5Tk4vvPpq4NSm0dpdfmReT9eZCFf6wCIFZiLsFwD
1hU95dPTNRZOGtsvdKYRykYVpnH6UjKvB0lv+1URywFALqGbkc2RzIousoOZVvD9ZGPMPJ+ZqrvO
EaN+nk5sL2I7RWneMz9Fi1tbrz2QMmeRhzH3DS4yWK7IyHridbpZqqSPyj7Vfl0Jvop1D3s0vxTM
d56Mfi2mTk922ocjBSxwccLxyVt9nIVWTBhXpcCgfrkJRZNGLYcuJipdrtWA5hD2O9pVmy8aunOV
rbJSGh/qw3s9JHItynJv8JReL7h+36rOhXWbmVWXguU3mmQGCykrNyPK9VoJQ/1RJ29GhbtrKMK1
GpU5n/uW+SCWi7VG7kwl+Y1pprCeGn5FvRx8FNCSq9bQD41Qw0+8ugf353edBYHkVGDYm6bAl6Cw
hAYw8PjhmSkGIBYeCtspEytml93U2DxobHYGDHjcgGXDI9TaGyBxbj3e6IcZl926FWm97TuZ7dgY
r5EU7Aoke7mdyCgD2/CjKvPpCvegnhIXIOyhK08fCjNUYS0HkAZN2m6nnMyB9JZmO7D5qu+d+Il6
PYHfIx0J24KFOK38EwT70tXp59fPJ9tx6VVnRDQlQC8UqLs8w/Qc7NxDUvRqDz5YVNMW/ClkdQhM
4HWzpO4wDqo7y5buJi1jvpexesErt6w9rVkY97MOPLQAPJk8gz7aU2jSAl4Ec9XrFKLWEBsubYVg
QczNoaR9fkBU3fPxXllEdrKqN72b8stcliOsnMVBMmYUnCEwVcaJysilPAthEYpHNRu6EMyaIhLC
8HaVLrUC9+GFN6PpgmUDuNXpwsYXS5IBTMFa1pI4eWbzxoCLHYOLMiTdNeQj8HywmvKuumNpXW+X
sn9ja8z3ChkQR+4iX7AO2VjVb/tkfN/BUuOPi0yerJFHeQZxkCD4BLQhShgU3JM86xbdDLKbSZTF
okTgd2EX6TJJoy5BO8rel0nJYb1yGO/EvEDG3E4goszEk7cd+KJQkHM4eBRFDypTjcgLia7TMFbc
z/viFcmK0h+aMt2DkGXAdOZzlRHsF7iB8LmKbXidNxdsqTblQmPf8hKcLdtWK8ahQXRGBXiozqep
S3dVNs0gbTwozzkXkeLOZ31cbsWUe2GW13BVrafLMjV6vZzA8KG4F9A+WUHH847Nr1U18n0GWtWX
yWHCFvSOss2KG4ODeFYHajIXqq5pgnYZhs1MyM5r+3HfSx9TVwK4I4h1k6Jd24s3hi3Nme6SYcUX
8AvieUFnsUBJIOn0ms5iCmavx1HvERNS7GWwz+9HAHmiAk9jJ2EnK+FAE/hpz+rXNTQ6k3ltyXHk
qYslLQpoenwOjc3QamCU+BMsmFyUC1KrJBdjkGVLvJdVM4StzMufAtZpTeNJJgFWwX5ZWGSCJa+n
FV2m49QuMRdRxebpMvFqt23rpr1gcz0FcVPDks4iP/Dco5eZc+nKSoLeWbBqQNM0Kax9ZyBS83rY
2qryK1iKOnYuruFr6O3iVLPndcUO2BMBWHnZniFTRWOSZdvay/a1Zi08bqL3slbYz2Gtxc/SwZxP
3Xqhqtz36tCCOeh7ZYzepY41odYShw3gTdAMAeGNvnj4QUVvA31KE1vGsc+WLosKopL1OAq91Xqs
A1aBHPH42K3HBjXbkaONqfpmZSZqzuyQ3iVKlVAjcGSmo4iZDD3PU2FPHVo7EtNVQ6FieDpdlTzt
1p0Fkzq+RDGC5obtVZaWLiq9cSvmAaOgcwaE4My3sscCdlJoUwXNzLYjbZdo9rR3ZRLKwAaWRQBL
xfJiWO6MN81hy/P8wrX0Kiase0UHKnyZQdHMKJ822ci7N0sywq4JbnxG6/hl6cxNS9HaA4G8BYNu
VapFXy01DLG6KG/KeUcrkKodm9qLpuomUDqyBGkxFJeZ1G+dcEsfagMOSjLT5gzLEVKziV+z3K0e
+lM5w1qHVelxhsMNq9NVW8NOjYRIvu3BpRqS3ltBk0XRmJPBh40Y06byqN4stFnXvIHtHXFNXxdX
hXQvVKb0buZlGpUz6beG929KY/2iKLpzYF6ZbyqINU5mz+/SglzqTk+BHV3g5XLYpItpLwT2ga6p
i5ybArgumwI2X5oY6wjbejmH9axVTxceznmTrgWkzXGcqmiZTZgs1jvkVrzOKSv2FOdFVOZgYI1d
DPqyH7p9v3SAKXGZbr16kBHgid0XBqDRSzTQMTDH4xbTTRfqvqkuhJp3E574VVHRJEhaoFuF0pFB
iRck3uyFOulIYG2KojgdrkszD4e44malYGtE2BQyKNAEVLZNjnOm0BmBTRRheSrEucyPosHNMWaE
79IHlG9R3u+apXjLTt0nSWLvDJY8Nh4zbeAaUWynrHMvoPNuRCMYuHKe3S5VTdam1TYSsAEEhGX9
3jRMboZ6GXfZy6ob6WrQNLmyBd57soAFi1XtlXX0cRZDF3HKhu3CkxqWBRxwmkTUL2DzztqoOPc9
z9KXBZmroBhVEsVVyfbhMMvqbd1OYUF6F3lDScIkhszO+hmFdlzYGU44CmoxiU+NwfWD347E81Hl
IAPiREVIZt26yHZdZDRzVyZL6lU+J1OUzLK4iEPFxuxV5VNiIdkBzKE+EgY21pjHJ0+wOcLuRWiP
uNXndZxkm6o7y2mKL7kmuV+qzPMF7Kw5j9sGWkd5YWsKRp/W9aqocYQ8wYC06CLoytxFZFj0ukpz
BJtOrNz2pRgCz+vu0tSOZx6xN6XozHlLits074qNlPXsJ+BwrZaUzOu6JtNHbJowAytwyIcgK0nQ
LBya6TikV83ifVg8OYaWJHOQAFJe24VdVELKPeKDXLsC/j4oNEZMqwd1MhT5HCYpyuCB02T94wZ1
+ru8Jy1BEViRgW3ToCEZ0U/IBfCNbCFLTqMuG4egTAV4GCo5a6eTajCQ34vjQLlYVfgzdIhLO3gx
wDEpwhY1cVS4mcDiPS1g8ZY3W9ic4K6GzssiswHHWK/jgh+RxXyzJCVbfUTLoVNb17ZtNIAPGM4a
s7CgmYkg6i8552yrsg4sd5CpwQKU/zCpPmjp4M7crJdQpSU/U1kaxS15G9vSrlVPXCDkfDmwJHul
hgKcsxNBe/gxOxSmg9wPD7MRzMKUNDoDixAIhT43ZVvtTstzrugPBUkqqDlOD7DovzG1VWHeIgKt
ueiC1oAX3CQZvJETv5niYYxX1TLbHXHGASHqhhCnnZ/xuFkXgs17W4DmUrLZpp3DIe46GCrqZZe5
1K+ZsFcxvu2wfqEXD7ZaJUv9E/LBTurr63YPDgbR/GHJTTzsun4sUMqZdRkYiTzKTtRX9RJSMOsG
/4GICK0j7spVX/XjNaaQ/mkDVhjmtF3/X8LOZDtSXdvaT8QYiErQpYjSEQ5Xaac7GunM3EigAhAg
4OnvDO+/ce5p/LfjPZyVIwhpaa05v6k91wQSO6yak0iju5XSvtZ1/dkQd5oz7MisGwR8XO+LBQs/
QcB/xCARP7Iax3Hq8bxJ+FA0ZJvPDHTgLgHaeOr7iJfDDMHO92tY+kljH60/eTk8hgbm20+JBXiO
moZUtSIlI+lr4MWwqEJgA1kAntAPxEczpPO/8hhwJgCgt3+fx3+O5wS4zn8+pyQExYO8EUgf5CCp
T/97ik2z0DmkBtAhR9mw88BiX4LmwDBcfD+pFuMrtHW7VHqK+5wTNx5n674iIpezJT9bQvlVD8ny
oMb159CLHzZokhNpUDk2M2fFdm8byLqjyuknA0rgu/0yPl9veu2PyyZNEbVqOUdzs94yGawYisQB
fMlYxHFPz4Ncg1yOcT7A9j3VfJHXepHlYMe05Ov6akKxPk6NrQQNo4tpr5tv+z34iG3Xr20xKIAG
Ko3fWAKXa0UT1/o9PxDbt1VNs34/RvB55jjSxWKxnc06+pXtPZVHmfxtl87tzKZf0TnGT7pxexar
5d/2Pd12mFy687hGX7SedkuchPtWJNe1ibZCMWZ3m7Q4CHyub3p5IOnGSw+O1IUm+YY+9wpjyRWh
dKoaLfzQmiZDHvtsO6IXrPNAKpKPXU2eQzN8jBvGm6UH6oRiWXmtHKpQK1XCJZFVLzy26znxL3Cf
S5wF+uZnxhX//3oZ/O9h7HutYCkEGPzDMAD59V8NPWLWUSqWIKiGYFtOm/aLNNbZxWWuzgevrtpQ
uVdrh2ZHYCx4gcPE1kb4PaM+s7aeCgk+9PRdsmo/vc59m0LzFQ8418l1yMI2HzPlsFE2mKWJtXD0
vX6XUBuedEBCIDqp/D/mgvR/D/p4T7Gf+NjigOEQrwrJ/ff/Q0sUZg680GtYyRYUryrxg+arlXw/
iX46rm0yHs1WCRLJn9+9edCSuYid+yJpvR2GDgLWoltTjWr7JMO43tawCY4Nn16MSXf+sI7Pwq4C
3he0cdXrW1yPu6Hmaid7LJB1yUASiTa62gCeY6jmpRCpFHBl/qaJSV+cXJ+dLy92mVAyPBlUUcuD
qukGcl3jwq4f6v5pSx5OaOBZfIo4jPXJeNfvfn3JOPtXcNS+uXwPnKsm5FXEVBbJGI6nHu+MtPV6
Y8EPrrx2P7WRrubMnPXA/TP/kcYjfei2pivtcaM6fklWdUgceBSXCViIjaQnKt47lJHSH6Pk7Lqs
zeN2bh8QvcgOYsrm9sAy+rgR9hA4hT8BsjBnW6T3ps1euaMnktXhG1Pp2/+xYqEw/3d9w6EJkjEB
UBYliHP81+frBdg48TbVVRREuZ1wWNW6P3bjSROvKUiywrTL4L+DN851S+ANh/6JT8GftAGq0/nG
wje3XRH4DqavGI+kkRisaHwFU1SDE5+nLDnUXjIVa9sm5ZLd23TshhJzKIxRzoYcTHW9w1sNciSf
Sz+WtMJn9XdbXZB3BFYLk+pxyTAdjCJ4gByv82mN3SWgttpYuyeNddc4WoNdugK+Xobh1i+/OmVO
ArRQYZWoKxXrwzqEceH49OX53b6pB3MKtXiLVOXYLW6irCBB7e+mFXZxop9mcCjw3XXVifQv5I+4
iGzkCoBoeZO+pagpIIRwBBLBf7Yxs/shKP2lJtUa9hMUFIrH53djzjesf+cZVRKs75EZCrdwmW5T
0Oh8Fo3ZKfS5hcu6XyFLG5T8uMvt7DlY4LY+WoiLOH6jOceGmIsBFlTvN38irKUyEfWBtykaCBmk
eRo2ek/M0OWkAcIiQT0bnuyJ3qAir+MuSmO2M4EMcqzcnI0Co6bQBVELeCvQgoNtiikkM0acXhZa
KLvLIMflmBr6XNy/DBv2VAzxYQOUuoszV6xhjJMPvboJpikP5byVkuUT8T7bpHt3zLYFMcufcJEn
Z4MNHvwLpVv7gIGzwGg37YwLLg1UnHzTKiySmh3D1ZwCl9JjiAKaOOgjkYdHUJPmKERoy3UY9gFK
Rb4t3D+MphnzYHnDCRG+jf3sw9uu8axW97lFVEMcDmxZH6SXZofVbKIAZ/Ri2Jg+DH5scrqhW0xl
HOVi06zAPmvydYOuSQLXFS6emh0KwlMfz2AVoyTBvzfYstVgG9CoOHARuUfw+UaBHAsa6SML+yoJ
Og7kZAHQ5F/D6B/nOXIbRvXlWChOA98PwqW5qvv3CDPRSW7xDzk00xEWZJ60C700/Aslfy2HNRSF
9L50qiyGjwA8rB9557SnDzMPYcUEISk6is8IMu1p7eeLSQO2Z6uGSN6TW2LHAA922HLbbhwPPD22
HRkqbxEn0bkX44nx8v3FrgM84DDbCodtP3OV+4TNRTtZdzTK7UGRTaVNi85b7G6EaZRLNtXopcMK
pkuUh+tdXjMP8wCRvks3r+yhiwz9aovRTse0H5cSXP1Zj1FwUK3QB+s1l3Ccf6Xj5iqI4PnUyT6P
Yjfl0J6+Auf9kh7+ZRGqAnNdjbkOrVY9G43USfLiw8zYUJNcDLM9xZ4cUn4OMVlIAkgH7wtiOS8j
G1fhHRLyKRIgSeTtKfWABQheTDM+7wj6QC4DhS2jhmvagytdZhScFq8ZKdEVaQQ2Fhh1ehCNNblg
9zRVCOpxldvBbxqLfIL3mlJ2qv32VdNly3WIn2vRWuUe9GmP6c+Uuk8tIJGh2hPhlqILFdZkE3R5
IlFgoaxWorcpThE7I9yCERNKd5GsU/wshnqXGS/NuxarE01fmXkDLVi4taiuPYzjVC4gQeE7wxo5
q4NoG8i33gu0n9/wKKH9DIqX2cYPcOYqFSw3f7KIZWBnHqPu7zid/IlBYxc1KeOm7XcgUfacB6Js
17SM/G67kNTqPJzSQwohFGPaWmByQxsMagM9O8aY1vsZb7UpWXuq0RA+zAFGIs+2D8rhZUZL+2bN
3a+IUv86dhZ30exMROc/dAbATNPxHAImekq6NQdvYwp8xDcZzhYYO2Z4PxaP0ojxijTSKxbLVoxM
92UcL+qZD6VvPIxe6AmOGUy8KWueMrEFD13kXcBMOcCkoX9IZdkMaBnDjQ4llyjKZgjmJ22Bt/Rr
kQXR8jBnGCnHJrmynoono1HeJ7iN5dypQ6TpVdJmOYLMFg9xgt6cq/GpXusTyzx7+f5ulWJ5TNWa
B09ciFMaB81FgznLF2AmR8iP63GuUdq7RO4GgTe0JZF78hLunjIwDoDoiqntIowXUVwylK0K4PBW
Um1cxbNf7dx7j2lHTNWo+MeicPJM0CquEWl3DeTTSQVQi7Xwb9IfC5WR7rGPYqxkj5UZn2U5jd32
lHbgO0yom2ose68DFa6XAeO6X/bg959cEcjurkGDLA6HDyabrhhdve0ht/lPnK/bxazZ8fu7bVBz
DqCwP0ah6HMNq+/Og/G8Y0lbtluA1tSfyBNdYGRtK8jO72/ntsXSXbu5DNpwyEfWAWzIQCO76ALf
aclnlZCnjg/eIegSl7sCMuJFB1iD80Z/6Sbxq0Wm6Y1kMU4pLtElRt1WRrzpc+UfzTD4X7XZig4L
HQKwvYbNPFzIUPsHP8kasKV99BwTvHgyruYa9aIte/z5LKp8rtgTRZQiBwC45J7lO9dE86PCzLvz
Rf1GsiXY0TDpIZgtvzhZhj8KUGTDh98xiOkbwShYGhrvGoxdZ86WtJgayEVdS8YqSKb1PRTzza3E
/xPV49OUsqkaMoC7rcKZk9jtTxBPfPcRsAlzkmeuiwBQfU8q4UBo87UX+IHOI/kyQ3/alnHIMfz8
aQbdlgmJ1AE/MS0XhOCrVEs/N7FdLmsnhrKJkzzm281XTfejJqMsQKBNNzVkbuez+YJ+xuy9mp08
+Co7j29jIccGarMVaLm1P1QEbmwZuLBSSas/SdhupeOsuwAL9CDZJ/w+FrpytMfV41EZ9LI7daqY
fV3FtYVHJ8FgJUr1ryYe5X6iIjjC/a0C2+LVNokHkhNnqogIUl+TDp+74bKxqPlNWn8t2saGOaO2
w+HZabxKm2DZs+VlGZ4WixcK1d2dQ0OQfBF5bO5DKqs/Jzr+bqj7g2igvYRBMjz4jN7nyS27pVZ9
hLN/Hkf6tMIy+BFN3V9P8+CBQU3Lbeqzson+SkwrlZmj32ZMLoItx3bewpwmTa5Vn1Xe5J+ch5Fk
GfRrb9Vd9IXvbMaXJaBAIrO3JhgeZpRPOrO6iCTrdrKj9raOAT/Bw2i7z9oNH8BNp5PAh3breLLd
zKKO8dimD2Su22JNBN/3XLe3oMZZx8z8SzDtipiLCdrmAEksaLbbWDtxS7bKh6B9bNta5t8/abJq
vNV1zrIBZ7sZs520BH859rcdyLL05rB483YRdYGZNM6xTtkZuvB1lNN0FY0q16VerzzqEV7IwhLn
FFDJzPqg9ULyuUCPxhxrADBl7UOd5L5Qx5B65ZSMUF/peVv2Kz603zirLzX5SrUDSRgRENwbqbYY
x7T0Ufvb5nPp1Q8XoGkx49YUSYYcScZvbYZS1IGejLf2MaDu2pVDB/Stn9IIrpR5Gru+nDWaglUe
Nm9MijT8YMvw4s3rA4jVF4HigSn5uZ1g5mxyjXZhpz8A/h4WPT9uKh2KjXYOr4d2KERpAU80zfXK
09MQ/eCdLNvo3iIK4ITDyn/OpmMHHHBFYkJ6VJnXlJ58kuufOYbADsTvMbUQtml9peGoq8mHmDiI
thiHDqizVTh1LOjhNkD0ovln9ft9t5kTo+l7P6pP20D/xOSLjYswhhzPSW3enOvVqc+QtvBHewPy
XImgva04pPNgZL9j6hWq4znqGikMbSmYGaRyWup39xahmGpMLVvt8E0UVnwNEONZnlQjSqSsZG5Z
chmdOZFU7ghFs8WAJeaeSvN18M5h3HwSbn8sMN/zLdVXnQVf4Hx+OshgyCiUZsNQgSDYQ7PgEPaQ
vY3FcO4TPJeaM1UYhHHn5eBt0aUj9GIHyKXZSv+aDO7O0sEQ8+lf3aGwO320MdXlSLz3dAymfFi9
OudQ2VAnCQZA783nPmYdReJdHMnD2rhbkkwPKPIltdgSSYZIcp1OtzaUx5ixfyQnD1tSP/haxpgr
G/Qm4p7NAOeULO/bMuxsdN+G1sJLgKO/gWpceIb8zn6N+5K33VKFDS0dZOKd0/4NUnmd9032awV2
TFX0U829zedGH1dMRcyR3y6iQen5QxH08z7V9An0ySFVzK888bOJ2j+NER86fcnEKorJoQmTGQVV
auQnjdvCRuHP3vcHbGr6e51AV7o2LBMt5x2KwaOcyEvPIocSH1ex/7s2ArS3b38MK8txvheIR32o
ZGRF4KVjPsTBRSQbqIoJerm2l9FHIz8SWON4QlHG9pKycoumZzPwrlQE3j83858Ffuc1CYJ3bXtx
QlGTyFFpqMAsLce0Wa9h2obFCM20iPVRNJg5YJR86h7DY0+D5yQZAKiT+i3Jon5nbY2NlGwnaiF/
SFkrnArDVhlB/tpwGgFENw+xepuI2Y8T+Qm6/Rnd2D+D619CsOAwnaAeeuvX2nD0Dx32TzarKff7
5FfW7jBx7ClnV58kuqRL6HLqAfI18m0bKCLTtpuqZsZZGM4OSMIMQ2zK5wCsv+pCzM8kvgSj/3sd
J8hXrXkL46UpAtOe4k7vqcTKREpoP4zt1RPYlCpe2THBjWQ4oEAJ1J/twgWoiDMstfSwcR9bfATO
VIf155Li0Zvt0A7yK0RIwIcn4sbdxs1Z+rTeTXP321MaQ+Xw0U9mr0IGw536H4vxjrOHM2TJ9C2Y
MgwBMzkxc9+qy55jx7No/NnJGkdiOaMmH5NZwiIPgz24Z5zVqa7Sto5yfN553AFS9UfyIzPA4Ueq
8p70XtHLcA+aCSO7cAIbXsPEpwtoqj+ZjPsdrkb7TNNL36fQHvEmkC5Nfi8tCmw9H8Qwuj0EW7g/
If4O/ODXjSdn65O4rOeJo92aceDVyVuYxTjQmoKlm9qH/QDIL0EptThx9hn/yWf/y6QQy203lFPQ
fji77NiE5qluCCvwae4gqP4Bc2RLqOcIPWKq6hn63prrwyBR/SHkHKGrbfC0Z126YL1k8YSZeYrO
rgURNaxrroJQlD65s+AQH2Z/LpLAFQY9R3evD61E62YwDuCMhzGf2pysAwyiCHFCpZeTHQaKOTir
d0MzosVQiFcBeveSh0F+wH0yby2o4dza8a/LgqAQMdTYFqmPa8vhzTWQ79ct2ipWZzMmtt7HANdt
z0PYv8MvEgXglDanKB2HhsCX8YINZkeMN+PsGy4VmGFKoXJzjfhLgicIBbq+tWD65nU0AOLb8RAP
04yMLn3xRohYyJXs/Gj0T17I98LSrpjJirkeHU7eEG86JtI/bnJ6mqDyPBLT42NCdsab2HG1GYPj
1X75Q3RahwCMfaNx/kUNsKBsLhG1OPja3svAsGsy/tqK8E+gO5WDi4Np48K9GJs1X0F+Q0PAQ4cg
0JAMSCMOTiPCl0zVfG9Gxorem9tcwSQEcNXtXEtO4UCOicUTjPhy5Mp/Hx3F2TwtWbGmBhb3XZwd
Mhinnk+rtkHsgaGboeOhFjhbaziWOAvvQapfaywjKCEuLKja/jQBRAxjg6ig44No0VdBEQvzrhvq
kuvEFD1gplxSiYJPGUEQQCNzyEWJuyaOnl7mvJPQpIDO39ZsmvbzUvOdGIa/S1P752mCfqFxz0Ix
t3fqDBw4x7xWjBvawa5DUhluVxqYopHjAa4LJgYczmkTPY9w/CHltwXu20G4UauSDwNOFKxcdH48
j0z0rDs3HfhXG9jmaiImyi4UpDJDOjzrdT4u1qAqcoIUEv0KZhO+KARw/KwV5y5I/sZIdwyI2faS
4jWG3bmd2kPgJp3bGPEbhUl2pxb2hn0XbclZ9vLCcONi6ZF0N0z0YnRzSuzyuAikV7b61muUlTvG
j0GnsSXuyLhmaQwpQ6Y70icfNsTu7M3yqs/AdzdMoVBXQS2ZHajQMlyhFY4JjASh0oL3D1Lzy5LF
HzxZf4thS8qAeyZfVpihIso+IHWdolb8Dal8Rx7ghd3tn5GTJk+gvy2W0YpF2T8LEgeVkyAT6JeM
6tco21ABEE1TKWkRupj/4h4LDBEvbIhaSKM2fDBRN8GlsFh3G87GNSmtME/DGKd3zGQvYecWZor/
kUHSVShX72k8nKxO9wAc3ifeiUJ53adn6PPkrciy4J+vcdwBhgPZyMQLRXaGReu656v/0dRI4kOa
HONlTzeGDszwhyAWCihq/Lt2sswYrDroWMu6fCKN+uEWdmk9zENxW6MZD/6a0TVHf5mvSzJHJQla
TB3K7O1Sf6jOd5iX2OU5pfTmhUjPytw3o8obxDyLhN8miPHS/91brXcorHxfszX3MY/jnESmVM5d
jNSEefKcaGCUJfNBbu6ldgCjyerzEuWQlRxTSEG7JAURzg6Bv32mgXcUK0NZhATo1TF8gK1X5ZCh
9i8QURENQRe7Yffo6DVr+9cYqy1nvkH0z5dzgfTHhl5nhZ9apUvIK3ymqz+uOxuiTRx7M+zXtxnj
ziNY8nW3bLh2JZM4uRPVBTthmj185/Ag7dbsFoU6ucZrvJ9J7UOB6584MpyFiaBeT2korzbsSlyO
Kx8YUUXW118R4n35ECQAPlD0yxQXr6h5xqCDpRk0uHEhQcam7sdTk3o/MvnXbLStHDd2p6cenebK
EWdHZMn47NSN38E10O59POly6VFvWVO/DgvGBY+N+4bh9/iYJlVdGwILJLOluoQLfjUMNlrVgcao
BBqcRAuiwhQ7PPIP8WSQfMOZR4B8r0JBLBmaW5/NB39M+aV1qBGwQqQ3s6oFOoxQsMRRrdIfLJrh
0cfLcmnx3zsKxpob0Bq+22Kf7KNIo+ipdsfogCATmXEWJDvnB7gTANFBy60ut5peTT/4e3zzyMMa
H8D6e5sbXk2J94DKvmsA7eWbP/2NgdjjlAXQobqzP6ivgdgWqDN2azZnv7W3TBXpcdmLiVfIqxq5
K0jGYybkA1yEvlvOevoBwmRElnkES8xeJ07OYRfC9ujJXVUlPRpVH3aUgn8Q1TF4sVSHRwkZHSTc
8Lj1CDuHFqCp3vqmmpzyditnO79G/AuJ28PsxrGE55IBCneI6k22JBS9YZcEyR6XwTxnvTM1KkaV
1ie+JOEfj9DnPlEVH7ZyUborTdJtO+IFaEOUf1lwTpes02IPpLEpjErg8zj0WgMlHx6uwy7iKYpz
K0EAQll5YlzOV7+drxjdaB546mA3PZUhfVoyXOuQ1BzIrLlnicSEkZhiB0Q1KycdfyqgoBXOfozB
gX8B1LVDAmUAZk1+TPHU5zOm/z1G/T16USgtAnAfboS4cA7OCHcrHZsO7DxupMINCZ6p90IEXUW1
hVwftaVCm/OA+twi41gh/vuwZh5uAnil7aLzeEHHFGziLnfTdwltK1dJ/dinaOWTtsPaBAIWOg95
+NXHruphmqUWJv9iYYvBJwDpzSvfaOxXvPedi14omeDbrDiBOmYi3H8wH6VLgoMYcaGBF6hnJn31
kMygxWjrPTmJk9g9bStSo+scvmAW+u15xBa4/+BEJwMfTGN1JwPCZLiagq1rdJAR4+BL7MPo1/8s
nIx5mGz2sNLpE/+MxiZm6DpQ3t88oCoVI27ej/erfpxs0nKVcbDH5UPI1MPwYrhRConaHh0gQmec
rQYTfS+PqsNlDPM4VkppiEJoz0COi/iaRHrZj3WtcXx06+com5cB15pg2Ch0Ev6Yo7oM2GDPuGll
p1VGr0Ht4molWFrYXt1k+69wslnRN6LJhxp/w4X9vkE8ff/tUis0MX5ogorSKYBuSXEh17aOpSbS
q5RAPSVQE4h8b2Tb/1S0Q6Ii/uMmqKV8rMl7SxCmHAL0/XZTzxNpLhsX3SOH5QKqxiuEIdtT4xOz
g4FtSqtFcJl5ACr+zl0atv+mM9mWnKZty6A0Z+kjNsDXv1ADJj8LCXu5D97cQyUa3Zu0Iy5oEvO7
xjK9aCiueRDOb1o08dPQwzHFDQDTyYtS+YGzWOENnnoh16msqYZJAQ7iGNHlZe1IuveVC0p0+tse
BIEqphGBX91mEArwigrTeeSAkmVObTqnZ435YG98UGnbMPU4dJfsGTDoqe1rzF01Ck3mq1eNhRON
yy6znD82Cy5TksbtpG+xUaPt1vnwGxnLTqHEpViBm0OoB+YORFh/eVZYeq3RPeZste1mVH2kjsSX
192WgSXnKeijMyw3sGT8AuWHFvU3PH3/ouCrPq0LsNwkigqJfv3K2uHX0jZ91S/tS79Yd8JQACcE
V4I8T8E8HOMmhBIhWAylV+Nt3amDFVYPw5H6L3TAXzz9FXTLchuzlj71G6cXikJJ4WLAItL4cYzq
h+8vaMvNQx26FUt7fQmtN50Vws9dnrLcJVv8ONPAVEM4/gSy/Gu4gxbj/YsXRPpR3UIcbkVI/PrI
szkGouxl5zpF3rQ2vXzw1AwdPEWjW0OS7aZkwVUxMIrUBCEhAUBsY+9P6LdvMoEj3YgP4UNlnkdJ
Hhdfxochk/4+YQ4pLx8Go48oPrRT2KQDAKqsR8PXuC3F5AN7fVKINK01G8qeeKJkzrVF63r6PCc4
E1WCrEkdXgYKOwXXeeeKevrqnNnALqe/Ojm0p7BuYXEuU3AJDdvyVBD0OqEKr42CUIUYjCiyBC7P
1kzvDVw0X432uvW4Ne07urAxCBLf2SMdgUiMoj6XQ9JXlBh50EEMqa5Z1GvC20c0VDOGNg5GGEjP
HlcPHOJZgQfqDAL6aca6AoqMeE0y80k2cnfcPahHSZsd5pV8uimyuCahma5AYn45yU7EpvxKXGqf
Y4mQ0Wjke+pDFtceEB0Sg48Hi5DtAJYCcI4MZt9RkyqhLbvGwNGLdYEWm3WTeBQUq2MWBya89Kcv
YVTHLaowtvPBaX0ZIgcIBqhd9U3QhBnOv4woc57j+sdmt0vF4y76l7dskyA+Z1N/sJQuv++JuyQS
MN/orA4LD8cztWA+wom/BGM5Yl4xaFYcHA8fF6N4g10BDaTz3k3BS427aV799SXqTYMZxfXXWvBH
mthsD+InxDhwFNxLjiADzlHsuQutO/Rp0Yjp02v4K3HipwwDdcF9i/WrWP9a4XApTkzIYyKBtCS4
26lqe9zw5nvPS4/LWbJWRu8r3PE8XRBxVD3iya0EXK06+dKNCbrjYLyZEHbr1qxPwOvgJGcE9lCK
RaqjUvYLf2lL2H/dUzMB4PiOr8zhPRBGyW8hY7cPcdMnmFYcnHJqKkuQg8MjRzXD4cu9rd5H2qGX
WhpWARXfILODUt8cbtryZ5mhtSfLziYheD86z22RTZi/Q87Z4fsX9SrYg2d+eUaqf6ZM5fWC+6kc
7omAdxJzAhtUPZnA9kdo7vTiYs0rLSuma/3vq4cd4P0/6Jw3QXys8X8xQKZMuFMzr8lLKrJyC9CU
LjNaigJYelxRHyaDH9T1A8h4YEHMPHWIeHhjt0vqcX2O+mi5Cd0C4FNt+F5rjOGAQPYzBovXxK51
hVsKaBF67Mqz1d2+o0YxIJdnHdW7b77W7+py25qzl7L1c+b9deqbC6eoxu0Am5GB7onI/I5amj7j
TgFvN0GQOXV3A38BfGpYMOxlQpfKF9ODhlr+hDe8QFQ8TFR3j//D3pntxq1t6/lVgtxzgZM9L3KA
VLH6RiWp1N4Qkmyz75tJ8p3yFHmxfJSXt318sjawkoscIBuwC5KszlXknHOM8f/fP6nueM8TvdfS
KvdcBjQnWtEJjdosOAn7aAVZj0zf+uLTL3ljwqYv+HHOjjbs2TeS8aLKSD80aX3jrNre4ALSShAP
A8ZDDcTGCmQk9qex3eOgm95KF9IAzcqRMxoqYCW2G+ZwBSNPFH5/vqUdEjPu1lFaMt6Bu+LJUo2u
sCKSpda1+IN6I1yHtREu8f3Kq9+guXcRql1GW3Zri6nnklWSL3OC6ODCNVoNuEn6LnM2ttali063
bpiy7VK9St+1gSaEKCQbI3blhRCzejHtx9cafBGsueDbNOCclHIqntTBWJazIpvIm2YjkqE/hiOX
fjJl1kKfX+m6keGiLofy2SHBYehU/HowQ0ppJ18qZwCWUL86bP+H2A2yG1lbr85oX9ly+2uDedWr
av8Lw0Cxlb3hnkWlWl6B/DAtWvV2mBAslwxh36M+3vX6Yx1q05tMtGIBBIdJUjnR6cmUY+/Ij54r
cFs34qrUcXDj49TZa2W7bXoEaAWTpmuVhv5NZQa7z/cUdXz+3KU1HwjGp66fVmdwoq5zPD0JXZqH
UMZspo9q0Kykg5YXC1W9q5hfn3yM+zskxcUK3VDQeGzW7SKJneKpQj+78ZXqLP15rkYv/r63fdpq
BadMOyvRHwlF1qtpsN2TJdtmiQGafaGyOncTaLKB/PlksjbtG1nqD5WMPDg1MYtFE+7USE2Pkcb+
2BfM9tpY5tuqLHf56ML5w4Px3dqYuxhOtMqpsY0E5VJlo360UIcAHK6QpMhmb5gmFS2whKWgJWhr
ufvIZrPumo8gM8ZjTfPxxhkjg+qwNL22LYZNUEEccaaV6FLOKmgQsuXnOvz50ATx2WGr2n6eo0Wl
I5VmodhUMbLY2Ak6XufW3QLwoVGTReOlQP59KkzTU0yLazRVttXsY/enCGKEBfSqUh0NEZ65Kbl4
NkhTaQLVEGyQQc9Pi0OxRgPi0znYjcZDQlv05ODuWhvcvJ8LcZJaMNg+F1tRu4sSDstaKSL/5Bjx
tjBmTZsp9TOLAGeZLH8LStf+4iBf0fIQBAhWoCSr/YfYlSegF3CrQsxVdaFA5pKh2Okz9pARR7b4
3JVdkdpe2Or6vFmuajge965/MeijryNLOEdD6q9CDuZb4ozVwowq3Ct1pD9lVUUJiDD4pONxfbBN
Z+0gGeec1Q4XpeOlxlp0UXs0Da3KxL+sxweLgZiXORnYC21UH8cxXKElegzK7NRCtVr6Cp6Fiutl
ZCSnYJeHiyTLbD58tPdDG9IDZeIQTsrFrehoT1nzUFj+u+3S0+hUY0O3qIDo1rScwPIvzNnoUiDO
/BcP5P8FD0TT7RsMJ9HWzrgY9FJ+s1SfOtpUTklfH6WDlhozVEprgos0Gdt721T2WRpbeO1mvYY+
UYhTUOChQGI2GVDkLjJE5zFF7e3kTL6XT4yS47Da60PrBWob7NvCv3HVAHErV/Iq6O2nurBQrIU3
qIa/5Bx4jzQdw7nGzVdNXlkb19UfDdi5aMAoattgmefTe3gOC2uTRtU3bXSdlZ/eNFgkvA5uBWPk
VYrxG5HOGvsFyAqXU3Ob51tasMc+E4jBra9SaWOwwd1hmue6flwuTB0+Fgf9BzvK0PEZ43Ouu8ew
NbMVpuJ4Fzqr2i+3U5rtRdRTBSjsdn5Qbuy4z7cmfu/Y7Z5YqxhwsMI7NOw8X1c8iWaQngCbpaxY
ldQ03owFOAF/elID9RhJf74Tg7u4qndatVEb99CYGVWArly7VH8BP6zSuIlfOfro6IFeEzyOKzgv
dTUrR7KbZCHy7FEtIK9F8FZho5WPus6CgjSyGt0PVqV3o/FpUGfPLh0x4GIaAieZykNR5jsF5gjc
MzpFHZ2H2u+3NIn6DfBAxin9xgo9a6C+HkaQi069RRNo0FheDgY/mfbJyrHzb0JtH6PUP5huCTXR
Ef4d80TTphNohuk3ZRTYaAPtI3Dl+yguYNlCT0fhyZin8lBC1wemLgh4HA2UW4t4VqpMm1owV3l8
3xfGkmHZBz3v91GGD32DICXh++5VpVwDIwp1zqoMW2JO0d0Fr9y2tO11w+GjDZNbkD0nNS0fGdtv
tRrlQF54fYb+ssBZXpTGkUEh3sw0/+id44ANP7EdxOUxe2obetXY309qrKJVFN9oUh7twUJWNUDC
bsziC2FCPN+UZ7mOdoDum6RwQO4vI44n1PN2e0ixTaOYqG6UlMFx1dToDKRnKZR+btEeysZ4nAW3
hTbrTRmWOiWELbNG7ue2/WOohMgObZhbg3vt0RFDcItXWubvZFFdRYq0vs5PulX7W18gjc+yaW/6
3SUw/G3l6BDNdhlH/oBRa1YyvJHpa6UlD5C8EhAtC7swH1WZvyryFsrCrkWHjhFuod93qnVMi+AO
wMlzXjIrNKqKq1gN74qyCBeaFdsLpyiHxaCa11Yy5Co4jVcjOFNmpLdTBg/AjoqDr2e0Ifv6rTNR
d0XxtvGRx+nIqy2yCpZNL+8ZsbxTkT2AB4B4FDUHx+zLldMMxr5R4VWZXwpGEs5bUndfDfu19lN5
NCbuPT1smWvvpGSA3hYdIoJs/qeAC7T7amUYbVUoDkyCk+OkDMPSWea+8hQG8d7WmWS6Pt3NJrQf
TWXAfOb2QDY52fLKRgW2f9RAnjlPeE01XMdpiGAiZtzi8NohudlQ/y1Guq1oxyZomvliUOoXx1fo
ns+IJ0UtsIrXaGziqfjqctREg5jNI7JqY7QWL2cRIrKYuqXUQjrdGk17TfgR3fhNgIxgH7cUq7aW
LQfBHtuna62evkSW8cW35rqRvbcnqoh93DmGnUuXceAo3UezRMEFqxpFy6G6DdT5MCCgwXe0G7Fi
BJz/rW4n0/kg7STosv2v1NT3dhy9Yxn4pjTSQ0mALUxl4l3VGRUWlMd53DiFGoJy08ub5FWi1qh5
DfHBum78YCj84nB9H6AhzKBoXhfNUr/YEVcdQPWDPTZM7SbuOUOvPWNuNjrarosDuh+FySXsmo/N
XC6rek/vyTMhHdKcPMB7WXTfbIFGZGLu15vC8TCMIDGpdk1fqauqNF66SXmuHVEvyqq94cVIzvfA
ixs8sKzRZilu2yHAboH+LhlXBZI5x1Zz1uO6OUvdhC3dJeEytS5MSZyVJRps4nNHz0orLs9c0fZt
8BRZRb0OodWw0sJTbbpu72d8WYTa0aPLebZSpGM13R+/NqqTMz9odXSLveQM9XZcqV2Hb6K2ug+e
sikx10loLmQsNo2IYy+Wzk3sux63tLEEQ5Is8yJAL2abzPzR5S9RU0VaJ7lCEjo8+qM7BtnaEW+x
GdJRgtgyucqllCFDX+ytSgztVLKToFtaQBxAw58x+6+zUXpYijlwS/UjntwWuort7lRGwokqL4la
TB6trSuUmduBMV2FW3trcdR1yUpY0JWfllqjkXoA8xPp/UNCVbPOMpS2gulMWz7HY4sMGHsA26g1
Mwotl5F3ssssC/XgFIMmy7RVo0T5wrKYRQU0WpZ5LS+uLK4IWm9QA2YshMs0mbjFp2UYwzb7NC79
LWwZNHv+/J8B7TGAfvzA6f/b5msxxwk1v3+r+bf5x2f9p6Hem4aO7/AfoJH/gC77779GU36PLLG/
f80PehnhPZaAHy5wT2OWwhn8I3jE/YPN3IEappufSawwQn4w77U/DNcmOQufGNRYkih/wZcRJ2ra
uMBIphQ6KBOSEn+w/f/02P6z3BH9E47005s8ew41QrjgofFTNEyHv/nOq7RxScDBYU351uxdLU2O
edZvbJpuQB0i/dxoAYNE6lc71Pt28flmHSR3UQrxMisqd9mVqvsYYLjE+TEo76WtbfmeyRGd2N4o
K2abbFhrt7NGzw3hctgZuEYEevlOZ7y/gN6m3MWYutZOmtqLscdENNLYW5V9yXHR1esbJc+QPdth
8I479xL0UfGAU8jajsK6c4Uvz/Eu0Vr39vOhyM342FfyaofsqyOtYwsu9NosY+WOga3C79VdYxyl
gAYGVMJO3Fdo+PMv0hL2Xu3saKVHSPiG8Vsaz8fkbvrzwTSMnU/vdoeoTRxdM3LoYuOe7GAx1ri/
V7UG2yNLtUOXg1NMQ8taJ7qaekGaxfdUsK2XGjG5KkmaLUJDYvE1JzXdRpY+7aXmlzsLX+ISmPau
mtzEKy1mbYYtx2uHuWjpdAR1ZF2nMAey27WWvoGW1NmqMD44L52Q71VrRR9mnZ7MQhYbU+3lKuP4
fjF5lWq9H4ul7czQhmh2HkfdwaW19YQm/txxDrzVOotKXre7tZAqEhIW2NXQ6yX9WgvkSxietHTM
ntuK6YQi4gd7zkzRinPAgPCE88nrYAssIpEh2lWrfab00xd7NF4i2r/7wIUkZFa1OFm0GBYmrp1H
RLLp3hy0aTm6dBaRudOTzocYDZOrHA3wkTeVNkvZsjw5GQlsV+kkIwiRJNg79rQeG2d6dzmYaHY5
fMlNJKLSduSdBcYUH0kJP9OPrrHW64fPh2K8aG3q0hownJcmGreRLooHxayHQ8wO6HVl5byANQph
xOb9WQZcCXicdoheprnDFB/x/fQbVmrnzHFUXRWu7t9WURN7baf3Hhhwzp5GlS1kFOI+jnuka0p6
acM433easjWTLayuprEnmkjZfYoPbmVmCa3pzs1vswppVQvzav357udDk1axhz4KhU9Xhmvc87rn
kCV2n99hCYmuiR1F17CjMKjbMj18fqyoKrGe4spn8+BTOIFZpy4X189//HyI6GRzPpgun+8NEita
1E3DdqoujslvzrJUrnrkRpuk79UHU9Y9w7cBfVLlqA8EwQjQd6m27oc3ui4IQstz+qCB4a1mHq8/
k3mnHmhoM9N6tRhuL2aThHQKz56JvtPM9tVmyq8Zw/ttZvJvWcMANix9OGWZbW3aEQRI7VjdY0RP
cAXCMNt8vtsg1MZK1hm7SDj+FqRAvzJpMh+Qzi2tLhJHq2FkbiKbW4ZuMFL3RPYZRlGF6wwzTXXv
gDWma2R7jT6Cv5t2ZRCexpmAXNRISkwBFVm3+qNqZ/ZCbjuT3KChHTdGI7fCTPVVnA/aIhwx/gRG
D5RiQC88oLA1r31f7BxTAb7rBu+wfR1EZXH2NlZ1vcgq++pMCGYdE3deeUO2wmFg4rIcTWfcViPH
8+A5XU0J3PfatCN09c1NqDgH6dtfG1QDIrRDb2mOg2BRwcRpIh0vLNiOsmFaEtfiEPRJ+KB3FMWJ
SSpBZC0bi5NDXEYYU+n2CTPLD+Mw6hfmMV5nW+AKTWKMLF1q574OR3gwD0lX3WQMCZY6a7Kn913q
0QtHQ9sVT7K2q12Y5IMXjzXFAoZOPPaEoKRR/9pgnrrX3mPZxK993arLZPDthV1BA0/Csr78/VPJ
X2bo/HqY+Lf/m7PLf85jiaHNDMS/PpYsf0lI/QlVdYkF+/zCn2cTzbJslQ9D457Rqr8eTkj75V8N
m3yd77m+Pw4n4g/dVlGuEJz9PSqSE1LzZygaBxdBGCxJPLbOBmqSmPc3Diea/R8SeRDCQGvjZ2EX
cnRzBqv8AkQYbRxMATJdL1ZQYLcZAjujtY11BGfgFKVpv6lx4uHQjMV+qksEmT09+rl9tJ3aKDu4
k3tlC2jOQeujsLKrvaKp46YM3VOsFtZZRYnl18pbVKjmXa3UMMPQkpysElY4dVa4TSqnv0yt+eL3
ISQrjPerdkQ93Tv+JRyq00Tcx+ETRtWg1/daK+w200dTugxR6zZY+WHb3Kitqm4qpa8PhQSYPdpp
sK3qeUJotRTaTJAjttJnnynFVlfsN+Fj1fTnSaauKWJVK/GwibljV4aSBMcqYn/CqFicEqp/t3H0
W39A/5tKqWw4FDlnBqpvfRmcnNLGDRygQ+/1gLKNeduBeJGFCGvnpiMB6NzKs2q2/UnBkwTDczrj
MU4PoBTKS6Rl65p56MkBC4byq7TPjKbBPUo00wbMBDSQ6lnNCf6SnGOZ1Zc4GJJcnET2WiqxeWdY
9T2QDOWIBtu8S+3J2Vt68WEgV8BcNV0DbJN7ZYTwoLp29KY1yAgMM3iuZ2eRyH1nHdJLekX81juZ
/TrMqV56S8iXOT8A9Rxm302xwliAbWb+2OdbkAw2xpwWZs+5YbSuEHYp63JOFPsUHA1zylhF3BiT
tXOoKFdNZtlj5GTVKUjxYo99k6IZqioEco7na+Nti8TyMAxGevDrkoQX7pxlbPMfr4g+c4PqXTpk
oflzKhqxLC1QPpLSwjkzjSND8aYTo2bOeWrtnKwWI3NaVfGctjbnrgEpTc/pZxabIp2VAAixL4sg
9VR9rNDmP+dSY3ZWzyCwYAfbL1rj0GvQIdJoSWyBDHOAmIvFtLGyOw38wbEKsocgyfI7qSsANkME
fW3iH82hRI2n2eOyj4QJKoT7ZYk3NF8nNty2zFU7tveyuU8qg+6vCrojQwQ+Wfo17PX4BFs1XNJn
QDgoc7YX/OYXFxsESJMNTmT9gFbhMJqIyPqeuQwAbq93mNaxwxbLYOgyL3GLhL6MPIqgD86fDznA
hnU4zGIF6fiHLh7BzrgWu1884MJreUpR1HFXcigiDOo26+kaoAQ1hwrxVqfnSNV5nl0DY0bfVGD5
HfrVhvUSksJnVFgLNPthipJ+D99FII0bD3WBPmMMx3s7MfMl0KYdCVu0c/Wqxy6Azd+6U23slshR
QPNFcKQCRJ7+k9Q58ttoFdoHnBr4O+p+epidICf0MPMkzZkeNJuEG4gOJ1vAnAsz7mxSxS5yEvUB
z+4315wzAdLipWcJWiCTO0S6Ht/q0CBuueC31jwy/9c++X1Pu47l1//2X/9dbO2v0HHBJmVTXP/T
jfLf5dPPBfzPr/q5S/51BQ+lyiQbTOiGbZkzmfzHJqn9we44R4eiU7LBus3Y8J+bpEOtTQWP+oWd
jZi5v7FHCvf34FByZ/gVVEu36CYAq/mNDqzpgT1hsOZQGQfsb03iA2Ux3WVaR/3at2YFnRriv8e+
XoJefVKNujuMcSbxPPDXIq5uyRR52YlBXFIUCCyTerERMTtsW8YfXTm995PvvLQ5fWhnI1KyJSk/
sasqqEFZwxhOclqcy1SOo8G2nEvXihp27LEsSjuroHMG6r5vx9ty1MJbvffH7TgSn9U3UxJA9NTE
wcnaOyjbCPXL2NzlWLTPnY5iNQmC6rkYTGUlxhBXWudGN4qrvYBi6C82M4QtmNaMECH27WbeweN5
L1fY1GmmUeWyy1ds94HOvt/OJ4CQo0A0GfV5aOyr3pjpQQLDxqAxG7tKomU0uLR7nZHR0oLUvRmN
KD8VKh28Mqay6xkyLe3v0ha4nPOdG8/3MG1/aEPc1VgHixefG73ghqdZUJPjyRqgzKuBw7KgzOsD
z9ZenVeMZl478FpFJzGvJ/zoctE9AGWKtloaqhysleZeDRFUIiETnhMg2JqKOn7OpmpZRX69rFTi
QwOL4B0t5AWC8l60TU2FPoDVsBjZWVljUw072PqKetwXlfbmK310y1Gp3/cRAWBV6QMsCQC/+m0H
TWEIj0aIb3PsNPWjX5UtSDRX1KnXBFFwVKygplsqCIfK6o6ucZQ/RIIpWRjWw6aZC+FyLonzuTg2
P8vkuWBu5tJZzEU08gHK6bmw7qmw87nUVhIONTiLnRcaxCF5L5Tk4Vyc11TpwVyu46LnpEFIlW/o
h8+HKEmvQYu5fmSevpVaMdzVFTWMlpvDl9JANVDU6rsTijVN4GDff7YO5iaCO7cTyrmxoM8tBrDR
nFE+2w5zAwJMVXU25qZENLcnjLlRQb7TPM+heaE4tDHI3pV7i84GLoDpS0evI5ybHu3c/mBK5SF7
6E/lQGopQwwpouRhMPsXMTdPBF0Uknjc7wD4v9Wj/f+0GrLoXQLT/Otq6BJ9YJ/6CN9+3R2odr5/
3Y9l3v6DQAjIPazHrmHqM0D6Z6cW563LEu9qjk0z92enVv1Dn6n7rPOCnotjwgf/uc6rf1An0ceF
p27TrqSWMv/OSk/b+Hd8mKE6xFBTEGmGTej4byt9j7nWj2SregMuyZCz6puRJVjRaZMeLejGN/hF
mwlgBfZg+Yz6iyAIDm2vnai+MXyb3pRWPSQ07VgCRpzvMH4dXOVHIcZknySTgwHcWAP8Dx7ixNnZ
gIUP6VRixpo5cioTvV2UANNrypY1VKV8RJzl0AYpcFJ15nit0VZ7ZpQD4yK5dCeEna0xgURvnBx5
QZgOQsHchzq2CbSURKuKvEJFUd0HStjzvepsXzAUzifjoGY5GIH2qJdQsrPBfTF0YAdxUfcHTtuv
CmyLjS7NU8uPXKqjkGj+Kn0rtGKX5ljFYmsoDoYv95N1yeltLerEBBYFLbOlyxK7wFBw+a6yAgGO
mikkmLX4fkwNp6gD4ghEkXPbjMZ42xipNxoFcAlaUMsRvH3C/8yNCKDyK8urM2vb4bjk+0tMtm7C
YLzrVlwRsNAifwMuPV5zWIe2NNYXqzeaDZPgc1tMLvIJTPKJOrCsyXWX6cGZ2qNZVHTfVuZI4KFv
p9ptad5pSi/WfujP0BDVeQ6H+NSnUXE/Jq1/jnxSW9Usc55xK5EpmqeXME7BTELGRpkmWUK7YhHJ
vP0yxQQyab3yzSc7XOih/2JCEEzrLsc4puiH1jjD9B/usW/QIZ8fLMV4Uw0T21QKln7UnE3DnP+B
0XSARN/GDuCa1bkf5ROgnvI0VTadyQqlYBr2xzKHx5DFjgEnsFvjIH83M/k4xsOF9G3IVIVBGG4w
cX5I4L+YWFMDleY78HyxhwYmiLEK7yh83zNVroWmZ4d6Av+mCUAWzAA2GGHyYyoTZdfhxtoqlsJw
uYoLr6CZxsguqAHo/HiLKL55jMfHpu7c9ZV1UGIRkZmiF89F/CW06/yuIxHjkpMmICatB5q4sZ26
QCxpqDvHjfUd+Fj3oOodsR46mdU6QpSVWeUFU2OsHFJN3sBMYNwqCMjL1Ukycq3ta6dEDCVt3LuW
IB9cH8+VWiD+0aujHG6KomiPBO/Kneo4G1nX/TaegCYpYa4ey7g/FjVtgdR4DKreWCUForYwmcXl
8MsMR1cOARND+q2KIaEMaa5yKhN10bjDne5kWI0Y4UATJvHNr7ICpbL9iF7kUaVvQWsOrKkduPDA
LxTFAtPakwEAaDGOdQxqmNKnQe9aGnxkGHBVd5xMTDelAY/CyaGpWPk3RpYFa9vEoj7iaQW4voh0
OqYNMlDGHmQF5LLeTol1n5TkhLrtEhVRtoydkyjFIkjgISnh8NgMzWMQjodi5oA5cQ6ptOy+lrXs
Ed9JbdUmRMyOgvDTzKncrUiND/xi6QIlgLG3QIfT6dShs2SKxUUSJYgXDyTYA2WRTVvspYNHD6Gg
spI5YiQnjB6COESRlzvAyfJm5baDu4vhQXpTK00P8HG2yl1M7X2J0WoEhXMe9PEBgVaxt+aH1tUI
0bCiQ0pFsYsn/RQ0NbGJ6PsX6qzXL2X/hIzSPwhci4SKCncPyADAZhvU9FdNJi00IBZR7x7J7VpO
NMAA11TFQgM3cdatwjzr47sgR36IDjLXw3Wf4XRD2nVl3BhvBPHnGzvy4djydKtlaGz5FibqHqVd
jFou6C/AuCyZaS0qgLfbXtMf83ZWq6Y6NEfAwokwxr0KU2vV4NIDImc/lfqAHgcF7dH1cc4ApqzV
raFBC8ssbTr7eBcXqcBOPsDeMhzbXE6IPRaR2p2VETN2qoxeBMOdYNXbwm0Ex3fzbkpZnscEBryh
75HJHo3Edr0hRzSRW3DWKT10uWoM5y0aAeJx6J4IQWBNpmYhqKJBQDmCdEIsS8iFL1fWrowLvELk
oxWm+y3Om2o9u9ExQww1/QJL8lTDRfe1DcuLWFfSPgS1eKRvwcgvSpB1tN2hMYwTWXPVKhBNu4Y5
dBeh6yFCz4ex8c0kAed10l1n0/WwLluk84tc1aYNBsvuQda7QleLx/wx8NejtTH18Er7cG3nT1Xc
cSM1ya3SDy76mmBnIiRmZ61ADZqNV/rygSJtuGiqvunt8BCTzrKcShqYwpRruwRLnIz1rZE6+d6t
bTTFXeW+9GCCSFsKHH5WpcAaaPq9GIonN++fXe25Nq27TOR4cIZk4kYpXo0he1ft+kbDLZi1yGrL
UTwMMn6CwIdKXQaejdMoAV+4dnVDQeiL2ERnJ9pkTvNKlKqzTmLAuqJQ4P7hrinVdEc8o0cuebUe
NRyTmQgQWFSNv8i/2tGEA0TFEWo4A/J+VFvowjGExEGKqVZI16uDaZw3ec+qcPqENlEjo3HUnObU
kfJ1yPHzEAQwbtv+BS3UIbMQnaOnO45FRKpA5GxgfV4tAkzOjaodCBSuz6iNk7Vi9N0S2iSGFlXN
8CeMpZdGXbkyDMBC3L+sw41RXWyuzSRCgw3Tjtj2sT2yiTyOUwF7ssq1zeg0wQaBfbBqCouYWN8t
j4y3z02q+y8toPkFeqrkJYe0xLrjgwpuQ8RDNJpPdMsqggG1296q0g2/Gigmii4sTvmygQu6HOuA
i528U8/q7gIsWasOtxXY+6zZfz5IuxvgKc/vJ4HFCzzkT6VivnEifeuxIgHtDe/bgNPXWNQFmuGj
6NwTWadHPZBbi3ZXHllfRRHvXNX4IC7h3ieKsx/L3Qgpejl0EwpAbKT0lyyCULBbARBymkdQplA8
dfMGXtlJddt71Uyg9PYAN5T2ZijrJW23F2jgZHMagJCmAe6LzdAJ+oixBpzP4SBbAOeCoNJeRq1/
FKP8hjUKb5b/gvLtW2qm08ZH23nPMZM6tGgJq4jLU2ek5b+qoP/yN3pdGq2hvy6DTm/52/v//B+/
FkHfm13zl/2oglyGOzSmkIXhIpzr0H9UQY74Q3VmxYqgSBLc/gC3/+x2UQURrTN3tBgYEazmmr9U
QeIPMCRkOCBU0S2TuuVvFUG/JbiZqGv4tRhZubNghcCv3wZCMtPpUyTCaxPzjDrjek1SBcwkc3GE
Bx+NFl1+eY7+N1B6Jla/MelZ400BtdmwDFQrn8FCv4ygepKUMiOtYQIgFxyxrenqTlcCXJChByKN
uce4E8j7oRaSnDvsTMSU6fgYglssQo7klheZnqvSJaZ8IkduW5fZbWYbN+QtM3/Sb0IW/AIskoJI
tIjecNkBnUyXUrbLwVKpK/J1yMQiFyVxWsy/1MrDPXMjGdfXBM/0KJCHSFubRrkRqBoxnuAdOOKJ
9YTzjenussz5qyJFtAKUii1mlO+8VrCL+3yOEyFHVoN5yDZLYh0T+mglG30p0sD7588lMYu/P5k8
gQZRiZjKNI368LcKNrDqUosyk9kzyaVLx6jckxq32oTnY867CJuDdIOUeg9wFI1NDhW11p6roGnP
tRTvUTg+qK1W7tK5w+XUa7PnaD7R/8SYj6zz82FQ3IfIV7/WxQDGfh49qcWQ3uXh5vOdomkrBBlQ
MrocW3ZuflWEG28wTabbYKLd2Q7RufnHg0lFcvY1Mz51wTXN8j//7fPDPz9LDfIbs2603fdPx+F2
yARI6FgplX0POnEvOpITUqcclxUs6bZL6+MgjfqYDMDMy1lMwAVvLKY+OaStPiwTFzAYlN458Fnx
TI4wC929SVVs8mBGdpUCrTQMW2I70vBa4mk0Q67RQKQHq8sWWlB0aKWZeDRDTB1VMrECbWwF1tfY
LQiTLZRVayY3/pTGnjy7PagLoW/yzljbojo4FocNI27SpaH3zMgi6PJ6vIpt5ysM8WYjhQIg0aHM
d61VlRTBIdOM9zS3g02Fu4sKNpyWcWeqO7/C/EsU+bLzrY9Qg7unWxf6CntV5MTqqptYn6tGKEdp
/KKwj1ecymwbpofuXjXDXDF73aVW+mJEg9e2wY2F7bgK9Itqjt98pVu5wDJMUu18zfqw0TcNXQI2
Rd0gP1nOf+kUXofWwaIu7ibVuPBEXnxdw6qmrIfmiUY9u7q2CiaaitL9sDlw6RH5Ca3YMuozHFro
GMtyoHUB/g1au3untDaIUUpERbbhPhJPdNf62iG0zItWW1et0K62rx4UaRwmJd+Xg0WwsHWpBv2u
KcMZ/7eklf8qUv4jkX6XhtrVJ+42KD9I6n4sJjIe4BrCEFwbI61ujO55Up0aI7rBFLuFeb4xuvga
GEvNqk6pRj/TaPv1VFLrdEZULIpEO5jDhNOjPpmxvU6U2Z5gwBka3nLFWaUyRFijHyJhvdU55A3G
A3exqL84mE3uhMzfAPllmyknQF7q7RwsZ6f4AtpyL8SEocQQN8RQA55PWqBAyPg3ih0Nt36CUcmx
UmfJVAZFl2E/WmXwDGq0osBqpn6tl3QdJvlmFvYFhNYKyetVJ7E5IbckQHU2le7WzI27MrQv2lTf
kD8wkQ3vhrqxztPqwQahUXhJ/XWa8rc2gDb1v9g7s+XGkSzbfhHKMLhjeCU4k6LEoKbQC0wKhTDP
cExffxfUt6o6s/pmW9l9arN+SFWEoiRRIOB+/Jy9156V/VBF1TGtuuvg2YfljipdcWokmPV0VvdJ
gqOjtxH9T6mXb6oC136LwZUYHO8tM5lzBGiENvE4tXsq//eimgn3mLStsNruyEO4GfIKQbOSK83p
wzcVDq9YR8WprniM3Y7EZezF4TrWup8BgaJ7Dii7MemfOKel9yqsPhITePCwlIUz9aG5FIrmUjLK
pXjMycg5z7bXrdzCTX9WI9Juvcq0nyFVrrYUoN1SipIMEG4me3Eo6zQfKFQpWUX6nFT9WUpuKLdO
CYNiSXBV0jwwKRgOA0yKlSQUnXQfCmKDytiaG2rkUPKY9UvhnC4ldEct7SxFNf2IR+yAlNktquMY
IRUwpWsOYUD1P/ulMC+p0LH3M4WnZs+X4t2lineo5sVyjl/Ke3sp9GGhUvIvxX+0HAPkciAYl6OB
uxwSyt/W95FhOTzMyzGiWg4UDieLmhPGuBw1QGFoq4zTB+1Yd1twHhHLwYTGGcl1HFj9bDm2aFYF
voiLn3OimTjZ1JxwFOU5wG2MgJx9yqz6iPPmTU8AYCjZpL7muj8C8zXg1GRyemp7oz9mxqhtNdCs
ID+AdLRgyOmJBcyQcEnEMCV27UAPICRlTTE/ccKxBo0Ok4vnBM9/Pf+Mvfmp7sE+o0Yj12UdxwHq
TO3Va1rW4rI/ehknfzkTyRiwrrdsvI0uyOge3Pem196TiVk5+Repk90XqHE3IJ78zoI6ZebiWnXx
W9rZT8Kzf0SQ4SqLaU2UhAyY224Nt8R0U1zNM6I/FUH21n5YI/l2AJ+TrWw6P63z+qy6Xm3yCfsz
4U3cR2nEoK6jc1jFYXtiwnLnRSynHA30/eCxHYWhTAANdeCvmJ/5THRosRoDiIGGYNnvDwmQDOT4
itnhsK9CwJPgPG3HRpBacVBJWuLXs8UbJMSzlWVXy7qaZUuWUxx/WREk0rYGTuXxuK96jdujsr3H
gMjk1Sw3fcgD44FEAm46bnotRzvDZzoWURF9ZC7pDAmQE22q3u2cJcPhRVgGMIWkeSXhlGNoRHBW
BJ6OPmW41XQB3S6ELTMSfNpy3XiFiR+mPDcY2yHQTBJOk9BfSpG1h1QxjsozHr8Z+o8VZ+kaduaP
OtO/kp4mjEZIXyGeCIm/tj1m/CbGdYO4H9lOO99DYQQIKYZ3prYBUGv7Fqk0RLaCCwvekwM8qu32
gTL5r7KP7kBOsKrUCbWDdaqoDcDqZfSHRi1bIgB3M7GpEFQKLAZDuTbjCVsdnUhKUHQSFt920xU7
PQMhFxVmuLO6dmWPeIv4McA72mxYg9//5WnJx/flz5ghky3QH6dRu9eCZjpJl8EmwwGQrd2mV9Km
2T9t8rkMjnp3FGZZUGkpXyQAV8YQ3Jjq8+NcntqutQ5lFt61pGlumUp2l6htyOlabk30SS0JG6U0
YQcn47bB7otHt26Oks0V2vq+LLKMijQZ1mXySze0cttmgGYVxp4xAmnQ5m/zTDCCDmx320Xhc52M
PcA/QTPeUPZan+qfs0lPx8CPDBGpOMueLNthCA61aqOVPpa4F6W5thBeC5F5u9gq4Q2DSshUNcBP
I78EpCSMk5lINIfGRMa0s7eVn2vTA2A6yMuJ81EKEtl6l/M5SCQcfWLiNdkfxInggM4FhX4zPOki
m3bEZBmhBxilU8TvWfXNmQjvKSaoY9VXDPrxRK8K8TN3pRzb5hSU8bXNDffS5L80YTgX34Cz5eMe
bTZjlSJvK6BwseAcs3ARVHaIRJ1JZ7zOoccwRQcWkc8njYa2k0BCWurPoqI1DvI7q8J9o22HHgBt
GdLnRx340MRMNOGeWrr2oIgnX1coUY2qmHZe7n5MLh6bvnG97fiTxEjWCkMDsdQzkS1wrw26gbsF
f7w3VRx+opdomNw9CNUjynKwgPWQbssCXiS2oirXSJDUWgOfJB2/PNPXppreO824DjqbMwJyngpu
z2z0O3dpa+ioraaYS2tUcjjVEJfgLFD8eAlYomgefYuwWnhj0PK/34YxaOgDGt1a53dYRWSnF/VI
WFd059RZ5kdj9NCQLnIpi+DZNRTaJKEuYaD5NqykE1y2ZA1oSO5IS2I1Vtmul+oFTnzfpRqoGvKu
yFCJd+5Cpzbgc27prj4KBZVqUOY2i534IQfSrZG590NpBTrD4ssrvPISLxEScsEj61gDNwbJe2An
7ENuPYdNEaCmj951dAlrNcQxNeB01Fhc18iFzllYvnXQtJA7/gyJdrU0G9rbQOKA5niZr6VEUows
bjZGJ7Jhwq+oowlqj8mXZmGIL7z2Opef3citmveBS6/XeYRNlkEjTb/axd0ese/XgKdLjtq+TLiY
I9Z9OUC9kYPLUr00hgdpfnz/mw2H029VsWNdn/uZADW+oGQ0tZaWfaCFvheRQWMpJdJGd+1baYXF
SmiNu467jTeLCREzBRiJND/CnAQblehwb4DBujbMyVyX676uqOXDnP3LU2s7NT7Bh9sI0uETLKmF
S+rQHDY0le2P0mE1CnX7U5nBXo+5GeF0bpRS+b6rgbcCrv4Zpegp3IKvJ0BhVYVxvsGTUvigp096
UMnVHOXH1snsG5HTqxK1GzZInAdRvjGC6MR82LwwYmjoh4qO+iku9w7EKd/rYKqErA/MIPG6YUQ7
5wE/hQcKt0TWrlpjbDca4pRahxRZtJjTpoaXmEQvyXLK+E5ZjpN0YqXWnPVTmpOqEg4TxxVu3e97
mBSKpgreq5b3waTXt8rKm1TWuLDQe0hreBjjr1jxX+NKIDbVTYQ/NFlNuAoJyVFCW0G6xcDWSLy6
Oe9/SQdeVLjIgrHXV90EHnccXuIZqzG2lK+xTb++3+KpZIWTefMeDf3GYJDBcCJ/o/mfbAnvyYj6
CzTvnfoRBmNg3fVN+JoSBLkz7IA7DWdtAzCZtIhzbwFNT52CXjx7dzVNKZ1MB4xE3R77YvpIa83E
XY7ZsM9qsn6brqGAlHdGUFrrOh8BFDrXzgrCO3Qjq0kEF5F68S7PkPg02u+sUrcm6CCBlQPcrxwr
ca0tbOEaQmDieFuzw2lh9uVObXqiXLChy2ZTSI38pA/p6QxFFlx7mstfruGQo1i2m1LqnxVjO4Qs
grGcOSXwl8DHB/MVFwvs9MihK5HfPE5HQXdjHHDVNMJgmrDFMjnJk6O5v8aJMrFjB6j6TVhiccxt
+UuF4Ueemueh9nR/dJlgzeRW+JUXOmwTM8jQb0myS5F8/P4TpqHsP3ou/ysMmf4b+R8SdFqSNJj+
3x3RnXqf3tv/3BD9xxf9sx9K61JyVFraVSj8/unfW/qhBiIS1+FOgf3oovD7u/pP/5uHQJ6GKA2A
/2h70gj7u/zP+htrCCoS2mA0FQ16o/+OKuRf1H/C0i2HxdoVYP9QqPyxIVqTGZ/jyiC7MCoeJDli
viagkLgmK4AbfSH6rVdBT0k+z8xf/9PV+i96owYym+oP3sHlh7sm6kPULxIX4R9/uCMitmqTH97o
dGuke2tdUDY0Rrs6/6TT9zlnIIvQfZFLOD0b5fTsjdLHTn331y/EXPqGf3oh+BQYd1ss0A7tkz++
EBaVLuprYEEiJURHmyukIu2i1D+7yctSyFQTkAyGJV1cvc1t/tUhJpkstYsEe+to8iGo1F2TLqyZ
Tu5Sk4osvvz1q5T/2v20vKWJvHTXJay2P71KW5vSwVvadFBCQJ9d9JIQCa0pHuYp+0xy8xM64K7Q
AQzNwroqjNFkMrLwm0V5qp0lWGLeJzZmhRrfYD9jd+LY7eozgYDJcB5aZzEzV34GNPfExokIRrPu
bG38DI3p3YvCU5O+VlAyuwZ8WgAlPGVb8JkKYcV/IGz6oIXA6VPb9lHtgVDyNCrezPoFlYB5PAif
VTEizMe/pSQOZrEhBG/eMp0Xlc6QsLOvaige0rRgaF9xrg61eo9k5PGvL+N/IYPibvMYmC9iLMsR
f7rrSjhKdG6IZibgnErIuuQze8VgNDeSU7adjBA8vIK9JaitlPu//uH2v0R0ArPShcu4w+V/7T+P
AwzLLU1jdsgF7HPk4CDZCrVJq/xNxogvw+GJkdtNt5k+1q19YCMLt3FnfhkVAzQXsNcBWwgRxO4h
qW390PFokPcp94LDGZ1OrYXvjMgSHLHhleRtIXVAc+BX0nRWrzyJl6SecTQUFUGJabfvPfMUaN0G
shneXISa1UHrDHefqOnevtMa4buT2ZG5h8opGuOSiq+dNhnnsq3p/ko1wob1aSIJ0/S2RhXq62wA
LKXBZO+rsfBDqPX02/TVqGggN7O4jm76xqSSncyxrh3+VVjUT0LUj4WmaYyYg+NfX29T/ssCJzEQ
0NrAooTdWf75oWlbuwujKlpytbpXIn9o8jvpXteDraFh0q0zee26iAtcfs0BT00RfdW6fGicethM
S+Wcg27XRLvUD0GxQsdztAd2XvLIdrHrvphOAjCDxLe1pGW/yUnJy+fpqQhbmPhZ9YOYpGgVaEvg
UvLVOTx6Q1l8NpqxC3KrXeEu/OBdWFUioNHZwEDJST81oN3ScCp/zMk3dJ3qyLLvDK8FnFacY/K4
UEod8ibbqPy5Hu5Bvn4SvrgijglbnrPFtHHnktmaWuWDZxQnB/dmYuEKwh36mOAIdQPG/0ik8ygE
Mzk9F4n72CgDC6nu93DUJ/iBs2rvqugaBeExd+VFS+xDbYh9GGcfcGpfm+LDsTW4NtERoG0djduK
zDvEK1SfqtPpRpNdWFat7wUMmTVAF+2vMgOjI8ITEaxfsW7uo1jsg4Y28Dxp7xNpZ+YgD0Nf3aqK
yjKl5gyFc0iD5tUe8kXlVBOZkV7svHhDGZVuEuKBkelCEVF69VRN/RXWibmxJgBvY0AoDjBWvoK5
QmbjX/RINSURHWKKibivVy+NrsV+NdOazqS9QtwU+7pGUGEvBR276nfbESBpBtnkDzRGyVNuXj1R
VtuZy+SCX0GYYD44M+dRchkOkR4kq5I5DsBD6ygzkpPDEt3HHJHMbMzTDvnDRwxlc5YZu0ySIjGA
oKPjzdSmOFuXBSH3uSRh6qeq4D+Zds6pd9I3hpHQyjZcpHgFp2cu9ZQmx9x0bgNCxCF2lptlwEjv
0Z6GHM+BApQ7LF34xUeSO+nsa/NBFBwJmmEBnATJc+Ow7ya6fmCz2ZFUH9M0QtvAhOm9wcBtpR5R
Y8EmBixF7zvDj5Pey54rrXnaKQ3kCJHKMFdxRaLiUvyXccUNUKzNprynH5LuLeYyEPXHPl5nXaRW
RrtwN1CmEc80sv/ATnJt8xoXVuqLIrglMve2FrLMcUqfx0A/9ClyxJ5UtG0uf/dWLZHc+ESfcMCo
w7MAYMwAl+kdvLm2nw9dChhu7Itym4WjW66YRCx+sCW7OTM+MmLcdtLMIMD+TlyUq3bFPeIU3Wu/
hB4Z4UFLLyxuIyHb+Rk7xCEYoBW1ef2NxtBrRafaDshIUswheJLSqH0VQ53sAuvw12vW9x7wh2qE
ebHtUhvqLuAHfJB/rEYsDFgSirlHB2hcV7QHXTG8DRYTE5m/pVFxJvqCTnS7CfEqRiymXaj/t7UZ
2uM/F0WSMyq7lWUYdPQs+ae0YSb8uTnxNK/R69PrZ8Ywl/3WTTWaZVllPAU9o8HRZPrVLq5uLTCc
rTfg/wgjXONl/XtUUByLIpQ+DeX40bA1ssPnYPf9t/bbfZ6rHzCf8ktJN/XRXmYiHTOm7fc/Bnbt
Husco8n3F6C7dm7N4/ef07qmS46WeGt5aChbi77m7JTl9fsDoZGC/Uk3/O+/Zn1e7UYXn2BMiCwh
yHqyuuta9Iazj8d/Ogks9ojaco7rlnbr+rletfrggHaflnh02EII0PTHOU0NSHxBcepYo329bcKz
FfXRWu9i/RTkGz2DXkFGcoBmsTuYgRkfpRkP9yWBe6ukTxXC6qY/fmdWdjn3kGhScRhopa+nVHeI
7CRh0BoJUyyW+XQ435c9W+QQKOduGquO952gNbNpMMuI5FWaxKa0RdRCkCKFawQPcSvJIF0TVNDv
gsVqVirrPLav2LYzhNRgtCqL2IdhQhng/qiJV3fV5FyK2S6AImUB/QfCMyN4C74qx3wbBIPJEE8Z
zkFj1Ogt/1qwA6HdDiOI+1XLBKeGqpXZ2jEIIsjHC+RHDEZ7IWj+J0l4kgJE/xW3jdq74AxXXhF3
O9CKdLqb8V5SSEqPHmFbce537EH5UtCW05N7p5WSIbH3SUPpi2z7oztNG1lQqyi3XLM3zqDT4QWJ
rtkqj/5G1hvNliC8zRgGV5Dl9iqG3zrMwWNftdhdxMkV7kTwBcl/GbBby3iem/Y2WygurXnaDowi
d/rsvptF6DuOeI8Z/oGhSo+qT/tNojSisOZm24XXUETzXmmJu0kaYvvm+GbrVugzavuV1+NxlFnH
e9tVcNlibU1DoHRg+gQWknS4+uTAOj1j82a4DUa+sklO8W3cwhiU6AUPNCKs9mZCDUEz6QfkLK1h
oBDqagXGD7MjJ8pGLcVeCPWYKgEyiOPHHAe2eSUepM6ooUnuEXSBfzVdvp/pvuPhUqOmoYl1meY5
hzLRHpvBJpHTKjbw7GiEachFkG5B4as0WkpjSt7C8G7m46Fz5TujTdJJ9U6AzbP9CGroqnFylPYC
sdfcIcfz8GHFxFkxXAR2kisGKMZgHzGMNWerZkOhnbQudfu3OSTEJKOvW1E4gQYe20cyMbD9JBD3
B4jvA18akIRBgnpIpxuVeslVCqPPwGK8nHliRemM+xXSUuUQsuy0TJjGk6G6k+rin6BGX+ZBPYwd
PaBKsB9quBu+CWpP6iId/djMxkon0xE87d0YV+Uadf5rnTTrsVUkIAd0J608vBWy/whId9zPhjqa
EOP3VVu8L2UAdy756ESfpfVaePI+dUNzzZjuhilhCxt2FyiGPHWle3uGzD6aZjhbTn7siadYO8qM
dqTRPAGxuCdJlNZYzfwR5ml4rZ1mG/LwceLs4BzCa3JJ0PIR+z90ffIDuDEtx3x4dfUGUe4CwhsW
1L1im59q8g3DdJO3S1LxFxNQUmpJxinreV317TPgCVIM9MBeZXZ5FA2zFKtyrnphovtN5Bm1xYUo
5y8pSugV48RX2+gyWxT4Ur2OdO1vs6lAmzniF8hkhPKJqA4p5viVTSoNRpBgOjLVfAnLpDwqfb6j
X3VgnTZ8DfzUroAos9IHA9il3n12WYOkoqhDmvIxd5hRPA2jtenw5EGsZiCQsZebgul8G8d3qcN5
iSTaS5VYNOYLvB6N2zmrpIs+2lG1yAmAg2gJ8hDCkOxj28mSgYBy5bHg7Mskcfns9z+VnfaztoGZ
WS40ZJpuiE0ix9p6efaF9to6gnPcTp5FOEgT7BRtkN2ii1ToBmpNyT3h70huckaPLhejj6vTFJnb
Ge1LXI6n/jkw8ozRYHwPb1EjurvYx6X128OzyCzPl/aM7zHliFQVVEQOShsQL6dsADc7C0oW13px
7Qip67c8B/PNfqjNg/Du8SGCIaLUWSNMRZSeVVjqJ8O3XIj9mSCjTe+Y1BJYD0RGoQ3CaXyulbVG
2n4TcGk2TtYHxyKKwIkuJvRCcNbqFpmS3lveAbffHZbv+PL9If/Hn77/Gju/Y9uzz9+fFkNSUXEs
X5nO7W8ovtquj91qFybGr6gY9GMK27xD83pfLi5+U7ufOimumouSylZNvcm6/nenR496IJHnt7lu
b/pcTw91+jZyJP8ZAIbYD9A3oYh80CXtLgKMFULuEVVXSMIInglsf7ajWNGFQcjmHHp3RJCQ37E0
QL9dmuZ3fzQ1k4a3lA/10jS13NlBT2vJpUkBWte2zj09VkTkvxrUR2vjxRvsLQdaouNpyurpcGca
NfVXTCD7GHY3tiGtQTIv0xsJNQejJ0NH0ejNafiCyE+4S+kBew37acydvSpDO960RfCW0TGOQwbV
5jwjZiAlKpmCraJ9vRmWPrMCVFwweaX7jLZ96yz96GmgrgZsSq4vdoIVSp1m06ftrei/2iTP13Lp
bNNgvNTutFJLz7vSvGtDE1zrEyg/tMXnuOaIG2sYrZaeOfExhToEunkdqXnt2NvAma+2LahCIFyG
7/ROjbvRuS4NIK1mLiw0fSsGQnonjPaEafsW1HFeP/t6Aaj9jM4EGE0Wr6XXJ0DZzWvdoeYa52ct
sKE/ISTALUYSLB6hlVujYJnTtceR+o4T58mzB8jV3LWr5mpNkgGlpz9lDT2rRvEmlYmbbqzafVQ1
R8TIYLLflAYB3AF0P8mDqbhIS+9tkO7jEHOUGzz5+P1pmRX7Bd0H0BypgHMwQVe3JdIQI6tfc86T
RF83ehgy10kA+XQ8fK3bTts0YKpvl6azjampjkASPm2issOqEa8Fk2sGwG+AJrQPVmqLEQLtP2B9
PSOEoRZX1xJPqR3c8pYXXtfyksA7R5uvg2zujnrVywuNfjpyEyNtvw/qdt0SHO3bifES0HElAHZ8
YAxDStOE0+qegVJaEqJX9Q3Ikme7Hu9INx9Xif0mNPXWS+fglOKxZD5V6e7BKBBzdGPlAY2Ov4ze
utIoeiS26X2ata8JlZxVWQg8qNOGPL0omf/MOA9uCg1ftHBjXziovMEj7ghXeyycHBa7c+h75wWY
IQIwMnp8pRf3VtGKe6tE3GQ1dvnAuAnkuSt/OUKq/QS8su3TWxxXr6lnXEPImId9I9pha4WTuaHf
UkvnOlNzrqyel+IIxp2pLa+uM7IpTRfCqgli0GcbjCmQyRCo5bvZ3BakUugO2oOWTJ9FDdC6UCYG
EQvpRCQCcrvU2qlnEldUwiC1PJtI1WkQ7MpU/OxF8GzWJL7loLD8BYREUXG2oxb3mN7qfh4A8NWT
rz7jhhVp+NSGzSuhS9cc1PjG1tOFGTNzcJ4sn5hU++qFv+n7k3jHgy2SDK/JPOYvHikGvpVQZXq1
uJDSbW4IV2gu2NJDFHZMeHTn4qQaEMcpJRi7N8/SuiQO1Vuo2uAa8kj7tV03H147rZUh7PvcaV6L
Yny22u4ecjQMS5F+xRXTWqsynpvEZTNB66gP/HJB5O0qYVwkcdU+sev5PQm0DZD3M0afcGcwNwyQ
9TwPRXfHAJZ2bwT5MjQIdCw9Y1cXxGqY0n51yuSrspzTFJgZ0Bqr3zuLImYaO5Qi3mXK6JN0PFlJ
0j+oMLlR8LImRJTo4phZS6AwOSBSDnABnFcUFscio+aaA2pbJyV6iVDugKNR0Z70ydL2nt3sG3eR
sHYUSLaRwDpLel9N0Y9pQHjAIeWzHA9eYpj+nJPC2jsN5Lg81rZzSMxH+j7H3lm0WO9lfka+YBNr
yfFKz2AHdvq4Xe6uIabb5k4tNPoofE2Sx7lz4KG4O5LTXxvK2hVY9usyW0An8Njr0yawnEPTxZ9K
JvcB3Fm7Qo3CQM9a9HttpIe7XHfSB8/FcuqtQXP8rGQFSpUFMA24udzkA3DCms3xYCCRbsLg2Qjh
jkV5k6zIrT8pgK6LVu1hdse7vhNXT9CBKZXRbyeiy1VD6mZFOdyQKbeXEcqcwipJe0q/8Lr0q57q
NwKDQIR0cMwj4wFEioIdu2og7fcWU27XBECbfAaD2E/Q31YYqD7ZGH2lkC1FHpeIM+xmrigtGyIx
SuQXOUxnh5JnVQr05LAbKOsXILnV5BTInbXOZKW2mkPGtxn6rJEWVcv0GMhPh9Q4j3SIVUTCuk+T
ERtRfVo2G63LwDPAUDYM7hNR3ETLc1+FLOwV90HsniDGHEP4u2j9kg/S0XuUC+3O9vSz3c3PXhx/
Avc9045dxwbO+CnIfFZIhubj+BjV2TblNlrRlkYFK65ZWpxHfXpW3WFA4Gi7+c4Mz1lV7AnaebOt
8NMgxrGTIebb5pWsbW3yri3yChpCSmegbvWGto8wtS79aNQuN/Tky05zNHNS1y253F8aStbCdM9J
x7FeQwKagIRB0cdOOletueo769NISEnMiMRWTpAs2Gz+ddq6dXi/TDWsnuM7ATm3XiZbjyQReK9Y
xmwOCwzbN/Qjak6CaAG4yHsH1eL3+1ok9VoDZ3skzcIiWRtAXdkjfxCp/auzToCSyX9NFeGFFJfT
zOZIZuWH2EwLP72P4k8Xnvfk5pyfuOURhUXLKQqFCp6DttLoHteD3yyZCRCLkR31x7ll81mmBsjV
ieck5sHSoLXbxU8GE/j6HM6mSUvyhNuVq3RiSlgnOQ1hc7lmYfLhLUihtt5E5VSshgUDDY6BfnbB
CC0skrcpr25N1bz2VfRYUhUX0fQc4AOaE/3SLpLJ5iGKDLo1EY8oKze5rhC7Yrs52Xpy0eb7Lqme
NfoO/hR/GAMTkcLg/ghN8E7WWUjqJ+YL1kyHU3l8j6XN3DTG1Zbp2VbRKZc5d1rCWcw5IK04Vh2/
fEdDg6DIY+Ja+9ElK1Dvhn0NnKRwZxRrEghmgzLf7J+McnyXI60KkO+R9yQ1L1hFJgPEztOf7SkD
FxH3S1AH3RRWcPlbmGpvVeWDFOrOIe4MKrSFMFHel8J5ZYjMSw95EgpjH3kRcZ9Z9IliBFIYG6Y2
tDWlQ7zRazqxZibLtdPkz15NRcu2viOhYolaZJSg582T7eTXKkotmtPZWY9phWbCPtPDDpl35cl8
Hx0pFjZcOtYjD6VPKpkvaEccybe5LB/SMhrWaKV2UTm8jBVGfs+Otq7XphuKrQ97cl96lMu0bSsE
i5GziFVxiXeStoRGzF7TypcSuy7xIcRrmGHyOYm6BfMRH0lLupHUxB2SNR36lOw1aOOzgjzqTNt8
VtOu1BF1ocq/WBDYpdFuHYwH9Rjg2Lam10bDVEma3RIU7a7HKifrimBKQ8t3suUaFPV9n3fxISq9
3w6rSWelyLrUeg6Y0WT1oIhMit+r0T0omsLEw9GDmVEYsT+ZdJeKcGOmLuR3ZrF+RD/Q7NlBiuqh
MLRx61a1sQJJy6M+o65jV8rNOEK15o0bxpyfaM8PXPZxQ3reSzpSpeJFTFc1Orx7ZnE84TsC0h6G
tPa2jN83zOd/1L2HGD5AByUpVzP2UPpf64qxDObrXa209sRxil0WqD3bk1u9jY72E1yWt6un4TS5
inghW0AQi2k0gPZe6ZG4qzhMUvLgULTqgDUgyikUs7fajsCmOhvbpq5JCtJfirh8NjIL8ThO+ylj
3kT8IBOR3JD7cS6bQ+8Fm2ZgEfIG4toMvT58a1/bTBw4m6JYLBOF0fehEhzqK2YgPul6FCuc8zv2
9JJ5SkYI7dp0y72bGiiNeOzTMv7KtfS+SMlFozFcaAiR7YhKOM0TUMFzvInJ/sY6uojlvV2kx+NS
HlXbtMM0VT2NHJH5/6JZqpJ08yoJuQkl+azVkHwpb3ruLObMpN8Y+pqgWIbQRrIfMb2YphahcSUh
Je0fw/GcFqchYn1sKEWLGRCvcDGDp7FDotzXkjbb88sVMO/R1PX24BfRwzjUDCfowzMuDliFseKu
tLjigIfTBjGSO7vkcIysA2Fz7sD6NhYc0FIci1TbOurTdotd5JrHPBY/QWGqsnqp1Y/MBv+m2Can
TY0f0uwJ8tXu80q+9ywbBCdvrDk+1grrp2p/YhcLgXQY+qls4wtnuUtmoCMc/Kpr7/qS2A1GPJzi
Isz1NpnWI7IlRVkXPdQcMmsjPWQZ6jvcO2Y0+k7pPoyQ6FY6yLVVj6rRtR/DKX+Ze8449LMuhuD6
OlxTfe4OrV38iEjxYHbCpm8G3ddgjjtSOxn31jTznOBBE/XrjHTLj8R8tu6CMvx08JkXfsbYsSmd
i5hSCAKoDa2ZaXjYYsO+1FN6Ht3+TsN+pUR1azVq3cAVO0nRSDj7j+LVq+xD0ze+jrbNaY0rwL8N
wOIbHpofbXE38m7AeY8Itce/UofyUA9yV47mSpdluep+WW54ihqG4Wxdqgs/QxAQeTDvWpdUcBG3
H2weIWpebROScjo49gtZlXxT1sbYLV+XpxKgwdqo3zH+PrAlXpaBkSa0o4ttDxDcu7NoRoLgol6X
w5Wqw88KGHLsEYc8S8E8LnWoDCN7G0bqrsb2beDfwfbm67SdsFuvGyYiWKHF3vx+rVj1R1KRB+b7
uNuoDIgQ2MSoCWvCO5fRRUW+CapgjIAhiI7wpMnitkhSiEW8zEs3lQuYBcS0oMtcLb9ZMXqfkUaQ
mduu48bZGi79qkLsEdeqdS3c6qhStrJypiGiu9tqOJbN0o4Ojo1I3kVY/1z2RgS8l8EQO5NYYPoM
VAJMnFsUsuxS0zlnD7b18JfdAe4LijmkGmLDy6rfbEtoXAnCSTTj3o3AQXY6340IDM1w7z1Nv+dZ
fihMOvA62lvfnQl8bMk9iGDqEmLJLWjmh0m8ObNmXqb800uS8TCnDjioknyoihE9cOStKuAwkaGw
c7KINPR2lDTmNV9lPMzfU7t/Syj3/0OK/QNy9n8Q5f7/eoD/EnN/yD/eP1TzB4DSP7/u71o5CEqG
BHOETA5x27cg7p8EJfCtHn0/xGBLyuI/tXL63wAZ2RZSORuAEtDYfwjl9L9hFUVDh/4OzJ4unH9H
Jof85w/TUCldDttQmrAoI9r5V4mY3bj54EwoWUO3nPbsk0/QV3M66Y626Rc8SL+AQqpvZsgkTv3c
pKcKMtxJl4ugv2ChVG4rjvw2HIIc+1dgT96+zkjtHbHs4AP6P9ydW3ObSBBGfxEqYGCAl33QxYol
29E6Spw3Kk4ULgJxFwy/fs/Y3qyjxK5487CufVGlIpcKugamu6e/89n2wsJaedrGw87TCJODhplQ
W6xr6Ca1xpwEw5mBZRzHO2hQym7Z9l08Gwtl04NKAQSAH4XaZM6xtg3mjtvwndgv68C8TBOaZ6LQ
2kscdoOoW6QCltC+LMkuKfIqRnNHAylYhgiY92l6lZTOTV5k1qqgtsqzjmwZsd9RYoyj8Fs8qncR
oqtFpvxkftAfuYcbNG8XJ2U4ITLdbBVGHLU6fkvWoKSiK+V+iMvDW3xbqmUjw20Ugewx5I3nHOXU
GPzmAlPTje2hRAg4VZs3sqPBwzkazIyb2CCOiWzpNbpkic5s8HDeQKKxTY6NO6t73JYH/0/OElDp
uNFlbav8T5NR8Fnie928BUe05i6gQqXJJuurmyKnCo3EnqayhKeBs1bu20zp01F3W6q4Yu47vCC7
hgSmqhihc4/qTFiS0+FjtW3sAAVtHnwVbyJDRSRyND6ahrkbO0NI6CXVFV2p87AmA5OufSXalq39
THrHemkfF32mgNfm+wszDPBWN9OZkeef4Ci+O+KjTIopL9DwQLjJxl1SRu3CEQx1lQY5Z0SerSpR
ryIHZygzrrNt0BZvmOH+Mor2+D6BvEr7fMO0ydnhFnlB/ZGLvd5DGwJE7qazOMy+MnkKaCLOv0Y0
i9au8C4G59ifB3m+aeIDWtySc8aYG65VmtLUC8/iJhwXZCHDFazzTdUkFCjjbcWp7izs6y9W3LFr
IVa4iYduC/Uu3Hgldgxl6HRnsTeWq0EPYQVkAtKx8F33RXSrmnftSNbcV9FtB7Z9NVbq8cfd/+3N
zmKKbOimQz+E7qK2wnHVAdefdxFZjYsV8aYuwo9JPmKnPrIFgGNbNaZhr+7+5TL4w0Db+9xCSdmy
IS5DTvKWDMmQZuH2e2Erp9+KfQUeMS5nYZaNtJx4fEUHCIj8c7/uVXgz0vE5oyCvVirpqhXSewh/
bsqERlIZmyxt/SsTZV/vhOFGWuNcgP89h7pRU7GVQq0ZH/WnKk2Ked7SS4jtgV3bPKDgkK3MwSu1
yYKBGHNqNB5DPBFzXo0uNEh631Z75svKyA2ohhBfQXnMlo2zUxo/Yw6S5hE8mgQwTS3qw8yorA94
dq7NCHhNAMWGTX+BQh4TBQ24MWJQN4mG3jgAYVBK5xzmwcNxmRyEjqPM4RwhPCeJCPrBJVjTQLN0
8h53GI5S9rMa0E6riTvpjCn1Ff629lRoIk+CUCfTjJ5hT48QZo8fy+uCFh4iwWulpLdJocvM084H
tN9fARSiy2BGEq2Emg4jCnugQfCBNClI3DGDND3IOPdBCQGbDC8KTRcqwQzVmjeEAw+oA80gAjeR
4MCUicscQFEHqKjUxKJCs4tiTTEabHhGgyYb6TFthMI6C9XcIwkAiWGhfmlSay8x+tnCUSPH17wk
kI7J2ryy1a0toSkBqwJvpglLSsBaCoEuxcCX2tBsmD5DO+vt6/ot56/jNHQwHy8TyOJy6MO1bwfH
G5PQtvVRMbAL5ykZxeWeLfIcV5Nk3QCDIrstVp7+6IV6P2hiVKfZUbmmSGEgmS+w+nGJMYwpX9Om
WlTRGCjF/zfe70NGpr10Foc2Afra7Wp1vWs6qA1/k3D1t5siObRbxPX/5o+e/6EXUVVOU6O767q7
6Od+Bgpu0nZfIBSbE5glFkkRjj6BYC6FHCdjbvDha8PzNT8lAJZvMzDmO4LUBdHCozg9FYnnb/I+
pM//zXN3sLsL/IOr0U+0FC+Ng2FPTA8VGJoI1Aqc+fvoCb4LRDCBicwh24Mj0n8WiM9Fd2j1moyS
4vBYH6LHwb/TkzwRg5Mf+GctGNYEhA5KS5M0GItfonESA70YJFHQC8G7h1e/rpXgcl2/FoUTNPej
KAi0M2jhgVm7pP2mbXGjJyvBQk/iwd4B0ypxznptj8R9+fMDXfyJ9fB0JOwJNREjoix7BhptGZxG
wp+gIkIqhJs9H5ZG6ryul8NDIcjc/q88GU9HAlyua1E8oiQKKN8YnT0JhU9FeO84IiFUvbYwIB27
d1f5vShYk8CxJHWvdncjBgHP2ndPhj/xbEpYxIpM/JIY3cf9db0iuHL2uN8LhJi47IkOCh/qdiY7
5U82CwE7hdXiaqiUw4v0dT0Y3xDTvxcIVr3pmvpdia2E3j9x/DtdEndPjCWEiwjQfo1LQqJ3u39z
0SeLdsW3/O4FeRR7JxRuQbPI0zqgAFOgHwNheoQBIaDvyxc9G7/wAD24Un7Odp/qP/4CAAD//wAA
AP//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C">
            <a:solidFill>
              <a:schemeClr val="bg1"/>
            </a:solidFill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microsoft.com/office/2014/relationships/chartEx" Target="../charts/chartEx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microsoft.com/office/2014/relationships/chartEx" Target="../charts/chartEx4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microsoft.com/office/2014/relationships/chartEx" Target="../charts/chartEx5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624840</xdr:colOff>
      <xdr:row>0</xdr:row>
      <xdr:rowOff>53340</xdr:rowOff>
    </xdr:from>
    <xdr:to>
      <xdr:col>8</xdr:col>
      <xdr:colOff>441960</xdr:colOff>
      <xdr:row>15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0D1856-11BA-791F-3956-D67044AF9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647700</xdr:colOff>
      <xdr:row>15</xdr:row>
      <xdr:rowOff>125730</xdr:rowOff>
    </xdr:from>
    <xdr:to>
      <xdr:col>8</xdr:col>
      <xdr:colOff>373380</xdr:colOff>
      <xdr:row>25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C05F7B-BCE4-7DAD-442A-696297D44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617220</xdr:colOff>
      <xdr:row>25</xdr:row>
      <xdr:rowOff>175260</xdr:rowOff>
    </xdr:from>
    <xdr:to>
      <xdr:col>8</xdr:col>
      <xdr:colOff>388620</xdr:colOff>
      <xdr:row>40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939E2C-5285-80A1-477B-727BE972B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571500</xdr:colOff>
      <xdr:row>41</xdr:row>
      <xdr:rowOff>133350</xdr:rowOff>
    </xdr:from>
    <xdr:to>
      <xdr:col>8</xdr:col>
      <xdr:colOff>388620</xdr:colOff>
      <xdr:row>56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5DAB68-C090-AE3F-C677-53635288E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289560</xdr:colOff>
      <xdr:row>61</xdr:row>
      <xdr:rowOff>41910</xdr:rowOff>
    </xdr:from>
    <xdr:to>
      <xdr:col>11</xdr:col>
      <xdr:colOff>106680</xdr:colOff>
      <xdr:row>76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005F749-C62D-6F3D-C7E0-166769EA3E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1975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681990</xdr:colOff>
      <xdr:row>0</xdr:row>
      <xdr:rowOff>34290</xdr:rowOff>
    </xdr:from>
    <xdr:to>
      <xdr:col>8</xdr:col>
      <xdr:colOff>499110</xdr:colOff>
      <xdr:row>15</xdr:row>
      <xdr:rowOff>34290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3EA5F4-1325-BF93-FF66-AB606CF2B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704850</xdr:colOff>
      <xdr:row>15</xdr:row>
      <xdr:rowOff>106680</xdr:rowOff>
    </xdr:from>
    <xdr:to>
      <xdr:col>8</xdr:col>
      <xdr:colOff>430530</xdr:colOff>
      <xdr:row>25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19FE62-0689-61BF-3F92-1E851E89E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674370</xdr:colOff>
      <xdr:row>25</xdr:row>
      <xdr:rowOff>156210</xdr:rowOff>
    </xdr:from>
    <xdr:to>
      <xdr:col>8</xdr:col>
      <xdr:colOff>445770</xdr:colOff>
      <xdr:row>40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1CEDC6-1018-4D73-F41A-66AE7DB0E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628650</xdr:colOff>
      <xdr:row>41</xdr:row>
      <xdr:rowOff>114300</xdr:rowOff>
    </xdr:from>
    <xdr:to>
      <xdr:col>8</xdr:col>
      <xdr:colOff>445770</xdr:colOff>
      <xdr:row>56</xdr:row>
      <xdr:rowOff>114300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3C4F3A0-432E-D6E3-B428-D15AAF42F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346710</xdr:colOff>
      <xdr:row>61</xdr:row>
      <xdr:rowOff>22860</xdr:rowOff>
    </xdr:from>
    <xdr:to>
      <xdr:col>11</xdr:col>
      <xdr:colOff>163830</xdr:colOff>
      <xdr:row>76</xdr:row>
      <xdr:rowOff>22860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B3370288-B963-F7C9-4A8E-47D06CDD56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0610" y="11643360"/>
              <a:ext cx="461772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3</xdr:row>
      <xdr:rowOff>0</xdr:rowOff>
    </xdr:from>
    <xdr:to>
      <xdr:col>13</xdr:col>
      <xdr:colOff>381000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0143A4-803C-49F1-ACA9-91D4CF2E5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19</xdr:row>
      <xdr:rowOff>3810</xdr:rowOff>
    </xdr:from>
    <xdr:to>
      <xdr:col>8</xdr:col>
      <xdr:colOff>83820</xdr:colOff>
      <xdr:row>34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57247-57BE-4282-9423-44BAE08B3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396240</xdr:colOff>
      <xdr:row>19</xdr:row>
      <xdr:rowOff>7620</xdr:rowOff>
    </xdr:from>
    <xdr:to>
      <xdr:col>15</xdr:col>
      <xdr:colOff>784860</xdr:colOff>
      <xdr:row>34</xdr:row>
      <xdr:rowOff>121920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2B3145-D773-4DC1-B2BB-3F9A30870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582930</xdr:colOff>
      <xdr:row>40</xdr:row>
      <xdr:rowOff>38100</xdr:rowOff>
    </xdr:from>
    <xdr:to>
      <xdr:col>8</xdr:col>
      <xdr:colOff>499110</xdr:colOff>
      <xdr:row>59</xdr:row>
      <xdr:rowOff>163830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A715C3-B4E4-4C93-B917-905694991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358140</xdr:colOff>
      <xdr:row>38</xdr:row>
      <xdr:rowOff>106680</xdr:rowOff>
    </xdr:from>
    <xdr:to>
      <xdr:col>17</xdr:col>
      <xdr:colOff>236220</xdr:colOff>
      <xdr:row>59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187305BD-CCB2-4742-8D7F-6906559496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9140" y="7421880"/>
              <a:ext cx="5478780" cy="3935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401782</xdr:colOff>
      <xdr:row>9</xdr:row>
      <xdr:rowOff>107373</xdr:rowOff>
    </xdr:from>
    <xdr:to>
      <xdr:col>27</xdr:col>
      <xdr:colOff>734291</xdr:colOff>
      <xdr:row>16</xdr:row>
      <xdr:rowOff>145472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Fecha 1">
              <a:extLst>
                <a:ext uri="{FF2B5EF4-FFF2-40B4-BE49-F238E27FC236}">
                  <a16:creationId xmlns:a16="http://schemas.microsoft.com/office/drawing/2014/main" id="{DE95F3DE-C2BA-0FBB-89F7-A54A58A82D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6255" y="1811482"/>
              <a:ext cx="6650181" cy="1298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421871</xdr:colOff>
      <xdr:row>17</xdr:row>
      <xdr:rowOff>4156</xdr:rowOff>
    </xdr:from>
    <xdr:to>
      <xdr:col>27</xdr:col>
      <xdr:colOff>671253</xdr:colOff>
      <xdr:row>30</xdr:row>
      <xdr:rowOff>129713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vincia 1">
              <a:extLst>
                <a:ext uri="{FF2B5EF4-FFF2-40B4-BE49-F238E27FC236}">
                  <a16:creationId xmlns:a16="http://schemas.microsoft.com/office/drawing/2014/main" id="{ED948A89-6246-9005-D373-E99FFACDA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4598" y="314913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541713</xdr:colOff>
      <xdr:row>17</xdr:row>
      <xdr:rowOff>13162</xdr:rowOff>
    </xdr:from>
    <xdr:to>
      <xdr:col>22</xdr:col>
      <xdr:colOff>1386</xdr:colOff>
      <xdr:row>30</xdr:row>
      <xdr:rowOff>138719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Vendedor 1">
              <a:extLst>
                <a:ext uri="{FF2B5EF4-FFF2-40B4-BE49-F238E27FC236}">
                  <a16:creationId xmlns:a16="http://schemas.microsoft.com/office/drawing/2014/main" id="{08675EF0-6D1D-525E-2EFC-C5FE03F65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46186" y="315814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509155</xdr:colOff>
      <xdr:row>17</xdr:row>
      <xdr:rowOff>22167</xdr:rowOff>
    </xdr:from>
    <xdr:to>
      <xdr:col>24</xdr:col>
      <xdr:colOff>758537</xdr:colOff>
      <xdr:row>30</xdr:row>
      <xdr:rowOff>147724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ategoría 1">
              <a:extLst>
                <a:ext uri="{FF2B5EF4-FFF2-40B4-BE49-F238E27FC236}">
                  <a16:creationId xmlns:a16="http://schemas.microsoft.com/office/drawing/2014/main" id="{265C7C93-B5AC-1048-8338-41CE055EA3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82755" y="316714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105710</xdr:colOff>
      <xdr:row>0</xdr:row>
      <xdr:rowOff>26427</xdr:rowOff>
    </xdr:from>
    <xdr:to>
      <xdr:col>7</xdr:col>
      <xdr:colOff>713549</xdr:colOff>
      <xdr:row>13</xdr:row>
      <xdr:rowOff>153281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3C202C-6DFA-4608-BEB1-527C65D59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100423</xdr:colOff>
      <xdr:row>14</xdr:row>
      <xdr:rowOff>174423</xdr:rowOff>
    </xdr:from>
    <xdr:to>
      <xdr:col>7</xdr:col>
      <xdr:colOff>697691</xdr:colOff>
      <xdr:row>25</xdr:row>
      <xdr:rowOff>158566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38ABBD-DDE3-4963-8D2E-F896A82CE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95139</xdr:colOff>
      <xdr:row>27</xdr:row>
      <xdr:rowOff>42283</xdr:rowOff>
    </xdr:from>
    <xdr:to>
      <xdr:col>8</xdr:col>
      <xdr:colOff>174423</xdr:colOff>
      <xdr:row>43</xdr:row>
      <xdr:rowOff>73997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2EB67B-101F-4468-AB59-2E1CFBDB7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121566</xdr:colOff>
      <xdr:row>45</xdr:row>
      <xdr:rowOff>15854</xdr:rowOff>
    </xdr:from>
    <xdr:to>
      <xdr:col>8</xdr:col>
      <xdr:colOff>105711</xdr:colOff>
      <xdr:row>55</xdr:row>
      <xdr:rowOff>79282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9C7662-D9BC-4C09-8AB1-B4E6E22DB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140066</xdr:colOff>
      <xdr:row>57</xdr:row>
      <xdr:rowOff>153281</xdr:rowOff>
    </xdr:from>
    <xdr:to>
      <xdr:col>10</xdr:col>
      <xdr:colOff>443986</xdr:colOff>
      <xdr:row>73</xdr:row>
      <xdr:rowOff>5285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0C009CA-86CC-415C-A77D-657DD659B8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3946" y="10577441"/>
              <a:ext cx="4266320" cy="27780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84567</xdr:colOff>
      <xdr:row>4</xdr:row>
      <xdr:rowOff>0</xdr:rowOff>
    </xdr:from>
    <xdr:to>
      <xdr:col>12</xdr:col>
      <xdr:colOff>469091</xdr:colOff>
      <xdr:row>14</xdr:row>
      <xdr:rowOff>105711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0ADD4A-EE74-40F1-90A5-C35248D25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237850</xdr:colOff>
      <xdr:row>14</xdr:row>
      <xdr:rowOff>9248</xdr:rowOff>
    </xdr:from>
    <xdr:to>
      <xdr:col>13</xdr:col>
      <xdr:colOff>46247</xdr:colOff>
      <xdr:row>28</xdr:row>
      <xdr:rowOff>52120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D482DB-D210-4B6D-9673-505460753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42285</xdr:colOff>
      <xdr:row>14</xdr:row>
      <xdr:rowOff>58141</xdr:rowOff>
    </xdr:from>
    <xdr:to>
      <xdr:col>6</xdr:col>
      <xdr:colOff>229041</xdr:colOff>
      <xdr:row>29</xdr:row>
      <xdr:rowOff>88093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953F62-0EE3-411B-BF44-F86FCF7D4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207818</xdr:colOff>
      <xdr:row>30</xdr:row>
      <xdr:rowOff>117040</xdr:rowOff>
    </xdr:from>
    <xdr:to>
      <xdr:col>6</xdr:col>
      <xdr:colOff>110264</xdr:colOff>
      <xdr:row>43</xdr:row>
      <xdr:rowOff>169898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197F94-0B60-45D4-BA22-AB527DEB5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106298</xdr:colOff>
      <xdr:row>28</xdr:row>
      <xdr:rowOff>65951</xdr:rowOff>
    </xdr:from>
    <xdr:to>
      <xdr:col>12</xdr:col>
      <xdr:colOff>705473</xdr:colOff>
      <xdr:row>46</xdr:row>
      <xdr:rowOff>72410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370E26FC-B1B6-45EA-9EEF-32832BCCBC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2578" y="5186591"/>
              <a:ext cx="5125455" cy="3298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317133</xdr:colOff>
      <xdr:row>0</xdr:row>
      <xdr:rowOff>30390</xdr:rowOff>
    </xdr:from>
    <xdr:to>
      <xdr:col>20</xdr:col>
      <xdr:colOff>376595</xdr:colOff>
      <xdr:row>9</xdr:row>
      <xdr:rowOff>85889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">
              <a:extLst>
                <a:ext uri="{FF2B5EF4-FFF2-40B4-BE49-F238E27FC236}">
                  <a16:creationId xmlns:a16="http://schemas.microsoft.com/office/drawing/2014/main" id="{DB62F573-AA6F-445A-B927-A1FE613645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4503" y="30390"/>
              <a:ext cx="5378046" cy="16609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171780</xdr:colOff>
      <xdr:row>9</xdr:row>
      <xdr:rowOff>134782</xdr:rowOff>
    </xdr:from>
    <xdr:to>
      <xdr:col>20</xdr:col>
      <xdr:colOff>376595</xdr:colOff>
      <xdr:row>28</xdr:row>
      <xdr:rowOff>59463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vincia">
              <a:extLst>
                <a:ext uri="{FF2B5EF4-FFF2-40B4-BE49-F238E27FC236}">
                  <a16:creationId xmlns:a16="http://schemas.microsoft.com/office/drawing/2014/main" id="{5D765445-4D2C-4091-9338-DC15FBCC30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8341" y="1740267"/>
              <a:ext cx="2484208" cy="3314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178386</xdr:colOff>
      <xdr:row>28</xdr:row>
      <xdr:rowOff>101746</xdr:rowOff>
    </xdr:from>
    <xdr:to>
      <xdr:col>20</xdr:col>
      <xdr:colOff>383203</xdr:colOff>
      <xdr:row>42</xdr:row>
      <xdr:rowOff>110278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endedor">
              <a:extLst>
                <a:ext uri="{FF2B5EF4-FFF2-40B4-BE49-F238E27FC236}">
                  <a16:creationId xmlns:a16="http://schemas.microsoft.com/office/drawing/2014/main" id="{745E3551-1EFF-4ADF-A06D-BA85A0639A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4947" y="5096590"/>
              <a:ext cx="2484210" cy="2505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305239</xdr:colOff>
      <xdr:row>9</xdr:row>
      <xdr:rowOff>121567</xdr:rowOff>
    </xdr:from>
    <xdr:to>
      <xdr:col>16</xdr:col>
      <xdr:colOff>785091</xdr:colOff>
      <xdr:row>42</xdr:row>
      <xdr:rowOff>132138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ía">
              <a:extLst>
                <a:ext uri="{FF2B5EF4-FFF2-40B4-BE49-F238E27FC236}">
                  <a16:creationId xmlns:a16="http://schemas.microsoft.com/office/drawing/2014/main" id="{5C1C9018-B4CD-4385-90F1-D51AEE615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2609" y="1727052"/>
              <a:ext cx="2568777" cy="5897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Terán" refreshedDate="44357.502476620371" createdVersion="7" refreshedVersion="7" minRefreshableVersion="3" recordCount="369" xr:uid="{72276717-D766-443A-93EE-143B4B272E2B}">
  <cacheSource type="worksheet">
    <worksheetSource ref="B2:O371" sheet="BaseDeDatos"/>
  </cacheSource>
  <cacheFields count="15">
    <cacheField name="Documento" numFmtId="0">
      <sharedItems containsSemiMixedTypes="0" containsString="0" containsNumber="1" containsInteger="1" minValue="1" maxValue="369"/>
    </cacheField>
    <cacheField name="Fecha" numFmtId="165">
      <sharedItems containsSemiMixedTypes="0" containsNonDate="0" containsDate="1" containsString="0" minDate="2020-01-01T00:00:00" maxDate="2021-01-01T00:00:00" count="229">
        <d v="2020-04-09T00:00:00"/>
        <d v="2020-08-25T00:00:00"/>
        <d v="2020-03-18T00:00:00"/>
        <d v="2020-05-23T00:00:00"/>
        <d v="2020-04-23T00:00:00"/>
        <d v="2020-12-19T00:00:00"/>
        <d v="2020-10-29T00:00:00"/>
        <d v="2020-02-02T00:00:00"/>
        <d v="2020-11-23T00:00:00"/>
        <d v="2020-06-17T00:00:00"/>
        <d v="2020-08-02T00:00:00"/>
        <d v="2020-01-13T00:00:00"/>
        <d v="2020-01-31T00:00:00"/>
        <d v="2020-07-25T00:00:00"/>
        <d v="2020-06-27T00:00:00"/>
        <d v="2020-08-22T00:00:00"/>
        <d v="2020-04-16T00:00:00"/>
        <d v="2020-12-07T00:00:00"/>
        <d v="2020-02-14T00:00:00"/>
        <d v="2020-11-03T00:00:00"/>
        <d v="2020-03-28T00:00:00"/>
        <d v="2020-07-27T00:00:00"/>
        <d v="2020-06-11T00:00:00"/>
        <d v="2020-02-24T00:00:00"/>
        <d v="2020-08-12T00:00:00"/>
        <d v="2020-05-14T00:00:00"/>
        <d v="2020-11-11T00:00:00"/>
        <d v="2020-11-09T00:00:00"/>
        <d v="2020-01-15T00:00:00"/>
        <d v="2020-05-16T00:00:00"/>
        <d v="2020-02-01T00:00:00"/>
        <d v="2020-12-02T00:00:00"/>
        <d v="2020-02-09T00:00:00"/>
        <d v="2020-12-27T00:00:00"/>
        <d v="2020-05-31T00:00:00"/>
        <d v="2020-05-01T00:00:00"/>
        <d v="2020-09-16T00:00:00"/>
        <d v="2020-06-01T00:00:00"/>
        <d v="2020-08-27T00:00:00"/>
        <d v="2020-06-16T00:00:00"/>
        <d v="2020-10-25T00:00:00"/>
        <d v="2020-11-30T00:00:00"/>
        <d v="2020-03-30T00:00:00"/>
        <d v="2020-02-19T00:00:00"/>
        <d v="2020-04-01T00:00:00"/>
        <d v="2020-06-10T00:00:00"/>
        <d v="2020-10-03T00:00:00"/>
        <d v="2020-10-19T00:00:00"/>
        <d v="2020-09-14T00:00:00"/>
        <d v="2020-12-13T00:00:00"/>
        <d v="2020-05-13T00:00:00"/>
        <d v="2020-02-21T00:00:00"/>
        <d v="2020-11-19T00:00:00"/>
        <d v="2020-09-01T00:00:00"/>
        <d v="2020-12-06T00:00:00"/>
        <d v="2020-01-25T00:00:00"/>
        <d v="2020-07-22T00:00:00"/>
        <d v="2020-10-13T00:00:00"/>
        <d v="2020-12-09T00:00:00"/>
        <d v="2020-02-29T00:00:00"/>
        <d v="2020-04-24T00:00:00"/>
        <d v="2020-08-09T00:00:00"/>
        <d v="2020-10-11T00:00:00"/>
        <d v="2020-05-15T00:00:00"/>
        <d v="2020-05-11T00:00:00"/>
        <d v="2020-06-28T00:00:00"/>
        <d v="2020-05-25T00:00:00"/>
        <d v="2020-04-18T00:00:00"/>
        <d v="2020-06-13T00:00:00"/>
        <d v="2020-02-27T00:00:00"/>
        <d v="2020-06-09T00:00:00"/>
        <d v="2020-11-14T00:00:00"/>
        <d v="2020-07-17T00:00:00"/>
        <d v="2020-01-01T00:00:00"/>
        <d v="2020-09-25T00:00:00"/>
        <d v="2020-08-28T00:00:00"/>
        <d v="2020-09-30T00:00:00"/>
        <d v="2020-02-05T00:00:00"/>
        <d v="2020-07-05T00:00:00"/>
        <d v="2020-04-03T00:00:00"/>
        <d v="2020-06-12T00:00:00"/>
        <d v="2020-03-01T00:00:00"/>
        <d v="2020-08-26T00:00:00"/>
        <d v="2020-04-02T00:00:00"/>
        <d v="2020-09-26T00:00:00"/>
        <d v="2020-07-12T00:00:00"/>
        <d v="2020-04-13T00:00:00"/>
        <d v="2020-09-22T00:00:00"/>
        <d v="2020-10-02T00:00:00"/>
        <d v="2020-03-12T00:00:00"/>
        <d v="2020-08-31T00:00:00"/>
        <d v="2020-07-13T00:00:00"/>
        <d v="2020-11-25T00:00:00"/>
        <d v="2020-04-26T00:00:00"/>
        <d v="2020-10-18T00:00:00"/>
        <d v="2020-09-29T00:00:00"/>
        <d v="2020-08-30T00:00:00"/>
        <d v="2020-12-26T00:00:00"/>
        <d v="2020-12-18T00:00:00"/>
        <d v="2020-07-07T00:00:00"/>
        <d v="2020-02-15T00:00:00"/>
        <d v="2020-09-27T00:00:00"/>
        <d v="2020-09-20T00:00:00"/>
        <d v="2020-11-22T00:00:00"/>
        <d v="2020-03-26T00:00:00"/>
        <d v="2020-01-07T00:00:00"/>
        <d v="2020-07-30T00:00:00"/>
        <d v="2020-09-18T00:00:00"/>
        <d v="2020-02-26T00:00:00"/>
        <d v="2020-09-06T00:00:00"/>
        <d v="2020-09-19T00:00:00"/>
        <d v="2020-10-15T00:00:00"/>
        <d v="2020-09-11T00:00:00"/>
        <d v="2020-04-22T00:00:00"/>
        <d v="2020-08-14T00:00:00"/>
        <d v="2020-04-08T00:00:00"/>
        <d v="2020-06-04T00:00:00"/>
        <d v="2020-08-15T00:00:00"/>
        <d v="2020-08-04T00:00:00"/>
        <d v="2020-04-27T00:00:00"/>
        <d v="2020-08-11T00:00:00"/>
        <d v="2020-10-16T00:00:00"/>
        <d v="2020-01-16T00:00:00"/>
        <d v="2020-06-19T00:00:00"/>
        <d v="2020-04-06T00:00:00"/>
        <d v="2020-08-03T00:00:00"/>
        <d v="2020-12-04T00:00:00"/>
        <d v="2020-08-13T00:00:00"/>
        <d v="2020-04-25T00:00:00"/>
        <d v="2020-04-30T00:00:00"/>
        <d v="2020-11-06T00:00:00"/>
        <d v="2020-09-09T00:00:00"/>
        <d v="2020-05-12T00:00:00"/>
        <d v="2020-10-28T00:00:00"/>
        <d v="2020-07-06T00:00:00"/>
        <d v="2020-05-21T00:00:00"/>
        <d v="2020-08-06T00:00:00"/>
        <d v="2020-08-21T00:00:00"/>
        <d v="2020-04-21T00:00:00"/>
        <d v="2020-09-24T00:00:00"/>
        <d v="2020-01-29T00:00:00"/>
        <d v="2020-07-14T00:00:00"/>
        <d v="2020-03-03T00:00:00"/>
        <d v="2020-01-14T00:00:00"/>
        <d v="2020-06-26T00:00:00"/>
        <d v="2020-04-12T00:00:00"/>
        <d v="2020-12-23T00:00:00"/>
        <d v="2020-02-03T00:00:00"/>
        <d v="2020-05-08T00:00:00"/>
        <d v="2020-10-14T00:00:00"/>
        <d v="2020-07-26T00:00:00"/>
        <d v="2020-11-27T00:00:00"/>
        <d v="2020-05-10T00:00:00"/>
        <d v="2020-07-31T00:00:00"/>
        <d v="2020-01-23T00:00:00"/>
        <d v="2020-03-15T00:00:00"/>
        <d v="2020-06-15T00:00:00"/>
        <d v="2020-06-22T00:00:00"/>
        <d v="2020-10-05T00:00:00"/>
        <d v="2020-04-11T00:00:00"/>
        <d v="2020-10-27T00:00:00"/>
        <d v="2020-04-05T00:00:00"/>
        <d v="2020-11-04T00:00:00"/>
        <d v="2020-03-09T00:00:00"/>
        <d v="2020-09-02T00:00:00"/>
        <d v="2020-01-21T00:00:00"/>
        <d v="2020-02-17T00:00:00"/>
        <d v="2020-02-25T00:00:00"/>
        <d v="2020-07-24T00:00:00"/>
        <d v="2020-03-05T00:00:00"/>
        <d v="2020-05-26T00:00:00"/>
        <d v="2020-04-19T00:00:00"/>
        <d v="2020-12-03T00:00:00"/>
        <d v="2020-12-12T00:00:00"/>
        <d v="2020-04-04T00:00:00"/>
        <d v="2020-09-05T00:00:00"/>
        <d v="2020-11-07T00:00:00"/>
        <d v="2020-11-17T00:00:00"/>
        <d v="2020-01-19T00:00:00"/>
        <d v="2020-01-28T00:00:00"/>
        <d v="2020-06-02T00:00:00"/>
        <d v="2020-06-06T00:00:00"/>
        <d v="2020-09-21T00:00:00"/>
        <d v="2020-10-09T00:00:00"/>
        <d v="2020-02-16T00:00:00"/>
        <d v="2020-06-18T00:00:00"/>
        <d v="2020-03-16T00:00:00"/>
        <d v="2020-11-08T00:00:00"/>
        <d v="2020-10-26T00:00:00"/>
        <d v="2020-09-03T00:00:00"/>
        <d v="2020-03-17T00:00:00"/>
        <d v="2020-07-11T00:00:00"/>
        <d v="2020-04-10T00:00:00"/>
        <d v="2020-09-23T00:00:00"/>
        <d v="2020-12-08T00:00:00"/>
        <d v="2020-07-16T00:00:00"/>
        <d v="2020-03-25T00:00:00"/>
        <d v="2020-02-22T00:00:00"/>
        <d v="2020-08-01T00:00:00"/>
        <d v="2020-05-03T00:00:00"/>
        <d v="2020-08-19T00:00:00"/>
        <d v="2020-06-08T00:00:00"/>
        <d v="2020-09-13T00:00:00"/>
        <d v="2020-10-20T00:00:00"/>
        <d v="2020-09-04T00:00:00"/>
        <d v="2020-08-20T00:00:00"/>
        <d v="2020-05-28T00:00:00"/>
        <d v="2020-01-10T00:00:00"/>
        <d v="2020-05-02T00:00:00"/>
        <d v="2020-11-26T00:00:00"/>
        <d v="2020-03-07T00:00:00"/>
        <d v="2020-01-27T00:00:00"/>
        <d v="2020-11-20T00:00:00"/>
        <d v="2020-02-06T00:00:00"/>
        <d v="2020-08-16T00:00:00"/>
        <d v="2020-05-24T00:00:00"/>
        <d v="2020-02-13T00:00:00"/>
        <d v="2020-01-02T00:00:00"/>
        <d v="2020-02-18T00:00:00"/>
        <d v="2020-12-31T00:00:00"/>
        <d v="2020-05-07T00:00:00"/>
        <d v="2020-02-23T00:00:00"/>
        <d v="2020-12-20T00:00:00"/>
        <d v="2020-02-11T00:00:00"/>
        <d v="2020-11-13T00:00:00"/>
        <d v="2020-11-01T00:00:00"/>
        <d v="2020-04-17T00:00:00"/>
        <d v="2020-12-14T00:00:00"/>
        <d v="2020-06-05T00:00:00"/>
      </sharedItems>
      <fieldGroup par="14" base="1">
        <rangePr groupBy="days" startDate="2020-01-01T00:00:00" endDate="2021-01-01T00:00:00"/>
        <groupItems count="368">
          <s v="&lt;1/1/202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/2021"/>
        </groupItems>
      </fieldGroup>
    </cacheField>
    <cacheField name="Id Cliente" numFmtId="0">
      <sharedItems containsSemiMixedTypes="0" containsString="0" containsNumber="1" containsInteger="1" minValue="142416687" maxValue="9993785470"/>
    </cacheField>
    <cacheField name="Cliente" numFmtId="0">
      <sharedItems/>
    </cacheField>
    <cacheField name="Ciudad" numFmtId="0">
      <sharedItems/>
    </cacheField>
    <cacheField name="Provincia" numFmtId="0">
      <sharedItems count="11">
        <s v="Azuay"/>
        <s v="Canar"/>
        <s v="Chimborazo"/>
        <s v="Guayas"/>
        <s v="El Oro"/>
        <s v="Imbabura"/>
        <s v="Manabi"/>
        <s v="Esmeraldas"/>
        <s v="Guaranda"/>
        <s v="Pichincha"/>
        <s v="Tungurahua"/>
      </sharedItems>
    </cacheField>
    <cacheField name="Vendedor" numFmtId="0">
      <sharedItems count="8">
        <s v="Mayra Aguilar Sepúlveda"/>
        <s v="Andrés González Rico"/>
        <s v="Nancy Gil de la Peña"/>
        <s v="José de Jesús Morales"/>
        <s v="Luis Miguel Valdés Garza"/>
        <s v="Ana del Valle Hinojosa"/>
        <s v="Laura Gutiérrez Saenz"/>
        <s v="Robert Zárate Carrillo"/>
      </sharedItems>
    </cacheField>
    <cacheField name="Empresa" numFmtId="0">
      <sharedItems containsBlank="1"/>
    </cacheField>
    <cacheField name="Forma de pago" numFmtId="0">
      <sharedItems containsBlank="1"/>
    </cacheField>
    <cacheField name="Producto" numFmtId="0">
      <sharedItems containsBlank="1"/>
    </cacheField>
    <cacheField name="Categoría" numFmtId="0">
      <sharedItems count="15">
        <s v="Bebidas"/>
        <s v="Frutas secas"/>
        <s v="Productos horneados"/>
        <s v="Dulces"/>
        <s v="Sopas"/>
        <s v="Salsas"/>
        <s v="Mermeladas y jaleas"/>
        <s v="Condimentos"/>
        <s v="Carne enlatada"/>
        <s v="Pasta"/>
        <s v="Productos lácteos"/>
        <s v="Tarifa de envío"/>
        <s v="Frutas y vegetales"/>
        <s v="Aceite"/>
        <s v="Granos"/>
      </sharedItems>
    </cacheField>
    <cacheField name="Precio" numFmtId="164">
      <sharedItems containsString="0" containsBlank="1" containsNumber="1" minValue="11" maxValue="1134"/>
    </cacheField>
    <cacheField name="Cantidad" numFmtId="164">
      <sharedItems containsString="0" containsBlank="1" containsNumber="1" containsInteger="1" minValue="1" maxValue="100"/>
    </cacheField>
    <cacheField name="Ventas" numFmtId="164">
      <sharedItems containsString="0" containsBlank="1" containsNumber="1" minValue="34" maxValue="111132" count="326">
        <n v="140"/>
        <n v="34"/>
        <n v="798"/>
        <n v="1152"/>
        <n v="816"/>
        <n v="638"/>
        <n v="1722"/>
        <n v="198"/>
        <n v="2117"/>
        <n v="948"/>
        <n v="1036"/>
        <n v="2112"/>
        <n v="2016"/>
        <n v="3956"/>
        <n v="3936"/>
        <n v="4365"/>
        <n v="1690"/>
        <n v="3520"/>
        <n v="720"/>
        <n v="3360"/>
        <n v="1000"/>
        <n v="3750"/>
        <n v="84"/>
        <n v="774"/>
        <n v="1274"/>
        <n v="819"/>
        <n v="264"/>
        <n v="3772"/>
        <n v="2400"/>
        <n v="102"/>
        <n v="792"/>
        <n v="1071"/>
        <m/>
        <n v="6580"/>
        <n v="2401"/>
        <n v="40320"/>
        <n v="3348.7999999999997"/>
        <n v="20608"/>
        <n v="3647.7"/>
        <n v="12673.5"/>
        <n v="2320.5"/>
        <n v="30184"/>
        <n v="7350"/>
        <n v="14196"/>
        <n v="11872"/>
        <n v="51072"/>
        <n v="3139.5"/>
        <n v="15015"/>
        <n v="5359.1999999999989"/>
        <n v="10388"/>
        <n v="47600"/>
        <n v="12493.599999999999"/>
        <n v="6440"/>
        <n v="28993.300000000003"/>
        <n v="13104.699999999999"/>
        <n v="16743.999999999996"/>
        <n v="14112"/>
        <n v="2856"/>
        <n v="87318"/>
        <n v="3626"/>
        <n v="30693.599999999995"/>
        <n v="6720"/>
        <n v="39760"/>
        <n v="7700"/>
        <n v="1029"/>
        <n v="37520"/>
        <n v="19319.999999999996"/>
        <n v="10948"/>
        <n v="2352"/>
        <n v="18648"/>
        <n v="61824"/>
        <n v="1545.6"/>
        <n v="7985.5999999999985"/>
        <n v="6247.5"/>
        <n v="12834.5"/>
        <n v="9520"/>
        <n v="14815.5"/>
        <n v="3683.68"/>
        <n v="37996"/>
        <n v="9450"/>
        <n v="11396"/>
        <n v="9659.9999999999982"/>
        <n v="3479"/>
        <n v="13860"/>
        <n v="2499"/>
        <n v="5809.3"/>
        <n v="35280"/>
        <n v="23184"/>
        <n v="7318.5"/>
        <n v="1465.1"/>
        <n v="19964"/>
        <n v="18200"/>
        <n v="9240"/>
        <n v="5280.7999999999993"/>
        <n v="2156"/>
        <n v="3223.22"/>
        <n v="7308"/>
        <n v="49588"/>
        <n v="3055.7799999999997"/>
        <n v="9997.4"/>
        <n v="6439.9999999999991"/>
        <n v="22386"/>
        <n v="18026.399999999998"/>
        <n v="16464"/>
        <n v="40880"/>
        <n v="6568.7999999999993"/>
        <n v="10760.400000000001"/>
        <n v="11753.699999999999"/>
        <n v="16486.399999999998"/>
        <n v="4116"/>
        <n v="3391.5"/>
        <n v="26082"/>
        <n v="7056"/>
        <n v="10718.399999999998"/>
        <n v="11480"/>
        <n v="54880"/>
        <n v="45724"/>
        <n v="14000"/>
        <n v="24640"/>
        <n v="4894.3999999999996"/>
        <n v="1372"/>
        <n v="2511.6"/>
        <n v="8316"/>
        <n v="14168"/>
        <n v="2134.86"/>
        <n v="8106"/>
        <n v="25244.799999999996"/>
        <n v="7371"/>
        <n v="42873.599999999991"/>
        <n v="12740"/>
        <n v="21280"/>
        <n v="10303.999999999998"/>
        <n v="6860"/>
        <n v="26901.000000000004"/>
        <n v="10046.399999999998"/>
        <n v="15484"/>
        <n v="7854"/>
        <n v="111132"/>
        <n v="5978"/>
        <n v="14615.999999999998"/>
        <n v="15680"/>
        <n v="10360"/>
        <n v="4410"/>
        <n v="15120"/>
        <n v="18289.599999999999"/>
        <n v="47656"/>
        <n v="10267.6"/>
        <n v="17136"/>
        <n v="16422"/>
        <n v="28644"/>
        <n v="6300"/>
        <n v="53508"/>
        <n v="19320"/>
        <n v="45220"/>
        <n v="3390.66"/>
        <n v="4458.3"/>
        <n v="12107.199999999999"/>
        <n v="16653"/>
        <n v="13154.399999999998"/>
        <n v="50960"/>
        <n v="4636.7999999999993"/>
        <n v="4760"/>
        <n v="24210.9"/>
        <n v="3377.5"/>
        <n v="3091.2"/>
        <n v="4508"/>
        <n v="13566"/>
        <n v="62370"/>
        <n v="1862"/>
        <n v="5600"/>
        <n v="11200"/>
        <n v="1323"/>
        <n v="54320"/>
        <n v="10819.199999999999"/>
        <n v="15456"/>
        <n v="12159"/>
        <n v="4998"/>
        <n v="18032"/>
        <n v="10174.5"/>
        <n v="962.78"/>
        <n v="55384"/>
        <n v="16450"/>
        <n v="29876"/>
        <n v="12364.8"/>
        <n v="1519"/>
        <n v="2176.7199999999998"/>
        <n v="22932"/>
        <n v="9016"/>
        <n v="1841.84"/>
        <n v="20607.999999999996"/>
        <n v="18018"/>
        <n v="15590.399999999998"/>
        <n v="10192"/>
        <n v="43680"/>
        <n v="6955.1999999999989"/>
        <n v="17934.000000000004"/>
        <n v="2566.9"/>
        <n v="17001.599999999999"/>
        <n v="8232"/>
        <n v="12852"/>
        <n v="36288"/>
        <n v="7448"/>
        <n v="10690.399999999998"/>
        <n v="4459"/>
        <n v="2679.04"/>
        <n v="14616"/>
        <n v="62468"/>
        <n v="586.04"/>
        <n v="9186.7999999999993"/>
        <n v="8243.1999999999989"/>
        <n v="13104"/>
        <n v="27770.399999999998"/>
        <n v="13132"/>
        <n v="26880"/>
        <n v="9917.5999999999985"/>
        <n v="13160"/>
        <n v="16140.600000000002"/>
        <n v="9800"/>
        <n v="61236"/>
        <n v="3822"/>
        <n v="9940"/>
        <n v="49280"/>
        <n v="8260"/>
        <n v="52640"/>
        <n v="10888.5"/>
        <n v="1339.52"/>
        <n v="39928"/>
        <n v="21000"/>
        <n v="15708"/>
        <n v="6311.1999999999989"/>
        <n v="980"/>
        <n v="2051.14"/>
        <n v="5544"/>
        <n v="47012"/>
        <n v="3558.1"/>
        <n v="5944.4"/>
        <n v="6182.4"/>
        <n v="17472"/>
        <n v="34103.999999999993"/>
        <n v="19208"/>
        <n v="12879.999999999998"/>
        <n v="12600"/>
        <n v="14646.100000000002"/>
        <n v="9592.1"/>
        <n v="2575.9999999999995"/>
        <n v="15288"/>
        <n v="92988"/>
        <n v="2842"/>
        <n v="45309.599999999991"/>
        <n v="1540"/>
        <n v="1680"/>
        <n v="33600"/>
        <n v="5924.7999999999993"/>
        <n v="21896"/>
        <n v="12023.9"/>
        <n v="14637"/>
        <n v="7675.5"/>
        <n v="29568"/>
        <n v="4379.2"/>
        <n v="2058"/>
        <n v="4186"/>
        <n v="10584"/>
        <n v="10304"/>
        <n v="920.92"/>
        <n v="6214.5999999999995"/>
        <n v="25759.999999999996"/>
        <n v="23751"/>
        <n v="28257.599999999995"/>
        <n v="16660"/>
        <n v="2447.1999999999998"/>
        <n v="20624.100000000002"/>
        <n v="4998.7"/>
        <n v="2677.5"/>
        <n v="58968"/>
        <n v="11692.8"/>
        <n v="5040"/>
        <n v="13440"/>
        <n v="2800"/>
        <n v="539"/>
        <n v="19577.599999999999"/>
        <n v="36708"/>
        <n v="1891.3999999999999"/>
        <n v="2744"/>
        <n v="3430"/>
        <n v="42000"/>
        <n v="20034"/>
        <n v="14364"/>
        <n v="53452"/>
        <n v="9788.7999999999993"/>
        <n v="8389.5"/>
        <n v="12969.599999999999"/>
        <n v="17920"/>
        <n v="1716.26"/>
        <n v="26404"/>
        <n v="32900"/>
        <n v="6160"/>
        <n v="1674.3999999999999"/>
        <n v="2218.58"/>
        <n v="24948"/>
        <n v="57316"/>
        <n v="13239.8"/>
        <n v="22153.599999999999"/>
        <n v="5460"/>
        <n v="33616.799999999996"/>
        <n v="13328"/>
        <n v="29120"/>
        <n v="5151.9999999999991"/>
        <n v="26303.200000000004"/>
        <n v="23956.799999999996"/>
        <n v="18816"/>
        <n v="2142"/>
        <n v="43092"/>
        <n v="48719.999999999993"/>
        <n v="12460"/>
        <n v="13580"/>
        <n v="2597"/>
        <n v="34160"/>
        <n v="11591.999999999998"/>
        <n v="27692"/>
        <n v="2431.7999999999997"/>
        <n v="20020"/>
        <n v="4550"/>
        <n v="29484"/>
        <n v="25228"/>
        <n v="31388"/>
        <n v="1004.64"/>
      </sharedItems>
      <fieldGroup base="13">
        <rangePr autoStart="0" autoEnd="0" startNum="0" endNum="120000" groupInterval="20000"/>
        <groupItems count="8">
          <s v="&lt;0 o (en blanco)"/>
          <s v="0-20000"/>
          <s v="20000-40000"/>
          <s v="40000-60000"/>
          <s v="60000-80000"/>
          <s v="80000-100000"/>
          <s v="100000-120000"/>
          <s v="&gt;120000"/>
        </groupItems>
      </fieldGroup>
    </cacheField>
    <cacheField name="Meses" numFmtId="0" databaseField="0">
      <fieldGroup base="1">
        <rangePr groupBy="months" startDate="2020-01-01T00:00:00" endDate="2021-01-01T00:00:00"/>
        <groupItems count="14">
          <s v="&lt;1/1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1"/>
        </groupItems>
      </fieldGroup>
    </cacheField>
  </cacheFields>
  <extLst>
    <ext xmlns:x14="http://schemas.microsoft.com/office/spreadsheetml/2009/9/main" uri="{725AE2AE-9491-48be-B2B4-4EB974FC3084}">
      <x14:pivotCacheDefinition pivotCacheId="15212057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"/>
    <x v="0"/>
    <n v="9259377217"/>
    <s v="Empresa AA"/>
    <s v="Cuenca"/>
    <x v="0"/>
    <x v="0"/>
    <s v="Empresa de embarque B"/>
    <s v="Cheque"/>
    <s v="Cerveza"/>
    <x v="0"/>
    <n v="14"/>
    <n v="10"/>
    <x v="0"/>
  </r>
  <r>
    <n v="2"/>
    <x v="1"/>
    <n v="6185253419"/>
    <s v="Empresa AA"/>
    <s v="Cuenca"/>
    <x v="0"/>
    <x v="0"/>
    <s v="Empresa de embarque B"/>
    <s v="Cheque"/>
    <s v="Ciruelas secas"/>
    <x v="1"/>
    <n v="34"/>
    <n v="1"/>
    <x v="1"/>
  </r>
  <r>
    <n v="3"/>
    <x v="2"/>
    <n v="2308885942"/>
    <s v="Empresa D"/>
    <s v="Azogues"/>
    <x v="1"/>
    <x v="1"/>
    <s v="Empresa de embarque A"/>
    <s v="Tarjeta de crédito"/>
    <s v="Peras secas"/>
    <x v="1"/>
    <n v="14"/>
    <n v="57"/>
    <x v="2"/>
  </r>
  <r>
    <n v="4"/>
    <x v="3"/>
    <n v="6199717898"/>
    <s v="Empresa D"/>
    <s v="Azogues"/>
    <x v="1"/>
    <x v="1"/>
    <s v="Empresa de embarque A"/>
    <s v="Tarjeta de crédito"/>
    <s v="Manzanas secas"/>
    <x v="1"/>
    <n v="16"/>
    <n v="72"/>
    <x v="3"/>
  </r>
  <r>
    <n v="5"/>
    <x v="4"/>
    <n v="5540683029"/>
    <s v="Empresa D"/>
    <s v="Azogues"/>
    <x v="1"/>
    <x v="1"/>
    <s v="Empresa de embarque A"/>
    <s v="Tarjeta de crédito"/>
    <s v="Ciruelas secas"/>
    <x v="1"/>
    <n v="12"/>
    <n v="68"/>
    <x v="4"/>
  </r>
  <r>
    <n v="6"/>
    <x v="5"/>
    <n v="6343955045"/>
    <s v="Empresa L"/>
    <s v="Cuenca"/>
    <x v="0"/>
    <x v="0"/>
    <s v="Empresa de embarque B"/>
    <s v="Tarjeta de crédito"/>
    <s v="Té chai"/>
    <x v="0"/>
    <n v="22"/>
    <n v="29"/>
    <x v="5"/>
  </r>
  <r>
    <n v="7"/>
    <x v="6"/>
    <n v="1572125717"/>
    <s v="Empresa L"/>
    <s v="Cuenca"/>
    <x v="0"/>
    <x v="0"/>
    <s v="Empresa de embarque B"/>
    <s v="Tarjeta de crédito"/>
    <s v="Café"/>
    <x v="0"/>
    <n v="42"/>
    <n v="41"/>
    <x v="6"/>
  </r>
  <r>
    <n v="8"/>
    <x v="7"/>
    <n v="3776895536"/>
    <s v="Empresa H"/>
    <s v="Riobamba"/>
    <x v="2"/>
    <x v="2"/>
    <s v="Empresa de embarque C"/>
    <s v="Tarjeta de crédito"/>
    <s v="Galletas de chocolate"/>
    <x v="2"/>
    <n v="11"/>
    <n v="18"/>
    <x v="7"/>
  </r>
  <r>
    <n v="9"/>
    <x v="8"/>
    <n v="390733860"/>
    <s v="Empresa D"/>
    <s v="Azogues"/>
    <x v="1"/>
    <x v="1"/>
    <s v="Empresa de embarque C"/>
    <s v="Cheque"/>
    <s v="Galletas de chocolate"/>
    <x v="2"/>
    <n v="29"/>
    <n v="73"/>
    <x v="8"/>
  </r>
  <r>
    <n v="10"/>
    <x v="7"/>
    <n v="2456709195"/>
    <s v="Empresa CC"/>
    <s v="Guayaquil"/>
    <x v="3"/>
    <x v="3"/>
    <s v="Empresa de embarque B"/>
    <s v="Cheque"/>
    <s v="Chocolate"/>
    <x v="3"/>
    <n v="12"/>
    <n v="79"/>
    <x v="9"/>
  </r>
  <r>
    <n v="11"/>
    <x v="9"/>
    <n v="5766090086"/>
    <s v="Empresa C"/>
    <s v="Machala"/>
    <x v="4"/>
    <x v="0"/>
    <s v="Empresa de embarque B"/>
    <s v="Efectivo"/>
    <s v="Almejas"/>
    <x v="4"/>
    <n v="28"/>
    <n v="37"/>
    <x v="10"/>
  </r>
  <r>
    <n v="12"/>
    <x v="10"/>
    <n v="4872781256"/>
    <s v="Empresa F"/>
    <s v="Ibarra"/>
    <x v="5"/>
    <x v="4"/>
    <s v="Empresa de embarque B"/>
    <s v="Tarjeta de crédito"/>
    <s v="Salsa curry"/>
    <x v="5"/>
    <n v="33"/>
    <n v="64"/>
    <x v="11"/>
  </r>
  <r>
    <n v="13"/>
    <x v="11"/>
    <n v="4213140599"/>
    <s v="Empresa BB"/>
    <s v="Manta"/>
    <x v="6"/>
    <x v="5"/>
    <s v="Empresa de embarque C"/>
    <s v="Cheque"/>
    <s v="Café"/>
    <x v="0"/>
    <n v="21"/>
    <n v="96"/>
    <x v="12"/>
  </r>
  <r>
    <n v="14"/>
    <x v="12"/>
    <n v="9433063552"/>
    <s v="Empresa H"/>
    <s v="Riobamba"/>
    <x v="2"/>
    <x v="2"/>
    <s v="Empresa de embarque C"/>
    <s v="Cheque"/>
    <s v="Chocolate"/>
    <x v="3"/>
    <n v="46"/>
    <n v="86"/>
    <x v="13"/>
  </r>
  <r>
    <n v="15"/>
    <x v="13"/>
    <n v="8539365209"/>
    <s v="Empresa J"/>
    <s v="Esmeraldas"/>
    <x v="7"/>
    <x v="6"/>
    <s v="Empresa de embarque B"/>
    <s v="Tarjeta de crédito"/>
    <s v="Té verde"/>
    <x v="0"/>
    <n v="41"/>
    <n v="96"/>
    <x v="14"/>
  </r>
  <r>
    <n v="16"/>
    <x v="14"/>
    <n v="6983099686"/>
    <s v="Empresa G"/>
    <s v="Guaranda"/>
    <x v="8"/>
    <x v="2"/>
    <m/>
    <m/>
    <s v="Café"/>
    <x v="0"/>
    <n v="45"/>
    <n v="97"/>
    <x v="15"/>
  </r>
  <r>
    <n v="17"/>
    <x v="15"/>
    <n v="3008945605"/>
    <s v="Empresa J"/>
    <s v="Esmeraldas"/>
    <x v="7"/>
    <x v="6"/>
    <s v="Empresa de embarque A"/>
    <m/>
    <s v="Jalea de fresa"/>
    <x v="6"/>
    <n v="26"/>
    <n v="65"/>
    <x v="16"/>
  </r>
  <r>
    <n v="18"/>
    <x v="16"/>
    <n v="5388305959"/>
    <s v="Empresa J"/>
    <s v="Esmeraldas"/>
    <x v="7"/>
    <x v="6"/>
    <s v="Empresa de embarque A"/>
    <m/>
    <s v="Condimento cajún"/>
    <x v="7"/>
    <n v="40"/>
    <n v="88"/>
    <x v="17"/>
  </r>
  <r>
    <n v="19"/>
    <x v="17"/>
    <n v="438272084"/>
    <s v="Empresa J"/>
    <s v="Esmeraldas"/>
    <x v="7"/>
    <x v="6"/>
    <s v="Empresa de embarque A"/>
    <m/>
    <s v="Galletas de chocolate"/>
    <x v="2"/>
    <n v="12"/>
    <n v="60"/>
    <x v="18"/>
  </r>
  <r>
    <n v="20"/>
    <x v="18"/>
    <n v="2536792311"/>
    <s v="Empresa K"/>
    <s v="Quito"/>
    <x v="9"/>
    <x v="5"/>
    <s v="Empresa de embarque C"/>
    <m/>
    <s v="Ciruelas secas"/>
    <x v="1"/>
    <n v="35"/>
    <n v="96"/>
    <x v="19"/>
  </r>
  <r>
    <n v="21"/>
    <x v="19"/>
    <n v="7813757711"/>
    <s v="Empresa K"/>
    <s v="Quito"/>
    <x v="9"/>
    <x v="5"/>
    <s v="Empresa de embarque C"/>
    <m/>
    <s v="Té verde"/>
    <x v="0"/>
    <n v="20"/>
    <n v="50"/>
    <x v="20"/>
  </r>
  <r>
    <n v="22"/>
    <x v="20"/>
    <n v="4786931679"/>
    <s v="Empresa A"/>
    <s v="Ambato"/>
    <x v="10"/>
    <x v="2"/>
    <m/>
    <m/>
    <s v="Té chai"/>
    <x v="0"/>
    <n v="50"/>
    <n v="75"/>
    <x v="21"/>
  </r>
  <r>
    <n v="23"/>
    <x v="21"/>
    <n v="3021659728"/>
    <s v="Empresa A"/>
    <s v="Ambato"/>
    <x v="10"/>
    <x v="2"/>
    <m/>
    <m/>
    <s v="Café"/>
    <x v="0"/>
    <n v="21"/>
    <n v="4"/>
    <x v="22"/>
  </r>
  <r>
    <n v="24"/>
    <x v="22"/>
    <n v="2591950684"/>
    <s v="Empresa A"/>
    <s v="Ambato"/>
    <x v="10"/>
    <x v="2"/>
    <m/>
    <m/>
    <s v="Té verde"/>
    <x v="0"/>
    <n v="43"/>
    <n v="18"/>
    <x v="23"/>
  </r>
  <r>
    <n v="25"/>
    <x v="23"/>
    <n v="9326361454"/>
    <s v="Empresa BB"/>
    <s v="Manta"/>
    <x v="6"/>
    <x v="5"/>
    <s v="Empresa de embarque C"/>
    <s v="Tarjeta de crédito"/>
    <s v="Almejas"/>
    <x v="4"/>
    <n v="26"/>
    <n v="49"/>
    <x v="24"/>
  </r>
  <r>
    <n v="26"/>
    <x v="24"/>
    <n v="3769138349"/>
    <s v="Empresa BB"/>
    <s v="Manta"/>
    <x v="6"/>
    <x v="5"/>
    <s v="Empresa de embarque C"/>
    <s v="Tarjeta de crédito"/>
    <s v="Carne de cangrejo"/>
    <x v="8"/>
    <n v="39"/>
    <n v="21"/>
    <x v="25"/>
  </r>
  <r>
    <n v="27"/>
    <x v="2"/>
    <n v="5871657714"/>
    <s v="Empresa I"/>
    <s v="Guayaquil"/>
    <x v="3"/>
    <x v="7"/>
    <s v="Empresa de embarque A"/>
    <s v="Cheque"/>
    <s v="Ravioli"/>
    <x v="9"/>
    <n v="33"/>
    <n v="8"/>
    <x v="26"/>
  </r>
  <r>
    <n v="28"/>
    <x v="25"/>
    <n v="1534553307"/>
    <s v="Empresa I"/>
    <s v="Guayaquil"/>
    <x v="3"/>
    <x v="7"/>
    <s v="Empresa de embarque A"/>
    <s v="Cheque"/>
    <s v="Mozzarella"/>
    <x v="10"/>
    <n v="46"/>
    <n v="82"/>
    <x v="27"/>
  </r>
  <r>
    <n v="29"/>
    <x v="26"/>
    <n v="8474620707"/>
    <s v="Empresa F"/>
    <s v="Ibarra"/>
    <x v="5"/>
    <x v="4"/>
    <s v="Empresa de embarque B"/>
    <s v="Tarjeta de crédito"/>
    <s v="Cerveza"/>
    <x v="0"/>
    <n v="32"/>
    <n v="75"/>
    <x v="28"/>
  </r>
  <r>
    <n v="30"/>
    <x v="27"/>
    <n v="3530767380"/>
    <s v="Empresa H"/>
    <s v="Riobamba"/>
    <x v="2"/>
    <x v="2"/>
    <s v="Empresa de embarque B"/>
    <s v="Cheque"/>
    <s v="Salsa curry"/>
    <x v="5"/>
    <n v="34"/>
    <n v="3"/>
    <x v="29"/>
  </r>
  <r>
    <n v="31"/>
    <x v="28"/>
    <n v="6673950624"/>
    <s v="Empresa C"/>
    <s v="Machala"/>
    <x v="4"/>
    <x v="0"/>
    <s v="Empresa de embarque B"/>
    <s v="Efectivo"/>
    <s v="Jarabe"/>
    <x v="7"/>
    <n v="24"/>
    <n v="33"/>
    <x v="30"/>
  </r>
  <r>
    <n v="32"/>
    <x v="29"/>
    <n v="7137547321"/>
    <s v="Empresa C"/>
    <s v="Machala"/>
    <x v="4"/>
    <x v="0"/>
    <s v="Empresa de embarque B"/>
    <s v="Efectivo"/>
    <s v="Salsa curry"/>
    <x v="5"/>
    <n v="21"/>
    <n v="51"/>
    <x v="31"/>
  </r>
  <r>
    <n v="33"/>
    <x v="30"/>
    <n v="9655985375"/>
    <s v="Empresa F"/>
    <s v="Ibarra"/>
    <x v="5"/>
    <x v="4"/>
    <s v="Empresa de embarque B"/>
    <s v="Tarjeta de crédito"/>
    <m/>
    <x v="11"/>
    <m/>
    <m/>
    <x v="32"/>
  </r>
  <r>
    <n v="34"/>
    <x v="31"/>
    <n v="299812367"/>
    <s v="Empresa BB"/>
    <s v="Manta"/>
    <x v="6"/>
    <x v="5"/>
    <s v="Empresa de embarque C"/>
    <s v="Cheque"/>
    <m/>
    <x v="11"/>
    <m/>
    <m/>
    <x v="32"/>
  </r>
  <r>
    <n v="35"/>
    <x v="32"/>
    <n v="7779151222"/>
    <s v="Empresa H"/>
    <s v="Riobamba"/>
    <x v="2"/>
    <x v="2"/>
    <s v="Empresa de embarque C"/>
    <s v="Cheque"/>
    <m/>
    <x v="11"/>
    <m/>
    <m/>
    <x v="32"/>
  </r>
  <r>
    <n v="36"/>
    <x v="33"/>
    <n v="9282360094"/>
    <s v="Empresa J"/>
    <s v="Esmeraldas"/>
    <x v="7"/>
    <x v="6"/>
    <s v="Empresa de embarque B"/>
    <s v="Tarjeta de crédito"/>
    <s v="Almendras"/>
    <x v="1"/>
    <n v="140"/>
    <n v="47"/>
    <x v="33"/>
  </r>
  <r>
    <n v="37"/>
    <x v="34"/>
    <n v="6935804403"/>
    <s v="Empresa J"/>
    <s v="Esmeraldas"/>
    <x v="7"/>
    <x v="6"/>
    <s v="Empresa de embarque A"/>
    <m/>
    <s v="Ciruelas secas"/>
    <x v="1"/>
    <n v="49"/>
    <n v="49"/>
    <x v="34"/>
  </r>
  <r>
    <n v="38"/>
    <x v="35"/>
    <n v="3650322132"/>
    <s v="Empresa K"/>
    <s v="Quito"/>
    <x v="9"/>
    <x v="5"/>
    <s v="Empresa de embarque C"/>
    <m/>
    <s v="Salsa curry"/>
    <x v="5"/>
    <n v="560"/>
    <n v="72"/>
    <x v="35"/>
  </r>
  <r>
    <n v="39"/>
    <x v="25"/>
    <n v="1985754250"/>
    <s v="Empresa A"/>
    <s v="Ambato"/>
    <x v="10"/>
    <x v="2"/>
    <s v="Empresa de embarque C"/>
    <m/>
    <s v="Carne de cangrejo"/>
    <x v="8"/>
    <n v="257.59999999999997"/>
    <n v="13"/>
    <x v="36"/>
  </r>
  <r>
    <n v="40"/>
    <x v="36"/>
    <n v="7293507918"/>
    <s v="Empresa BB"/>
    <s v="Manta"/>
    <x v="6"/>
    <x v="5"/>
    <s v="Empresa de embarque C"/>
    <s v="Tarjeta de crédito"/>
    <s v="Café"/>
    <x v="0"/>
    <n v="644"/>
    <n v="32"/>
    <x v="37"/>
  </r>
  <r>
    <n v="41"/>
    <x v="37"/>
    <n v="3459323228"/>
    <s v="Empresa I"/>
    <s v="Guayaquil"/>
    <x v="3"/>
    <x v="7"/>
    <s v="Empresa de embarque A"/>
    <s v="Cheque"/>
    <s v="Almejas"/>
    <x v="4"/>
    <n v="135.1"/>
    <n v="27"/>
    <x v="38"/>
  </r>
  <r>
    <n v="42"/>
    <x v="9"/>
    <n v="1144627655"/>
    <s v="Empresa F"/>
    <s v="Ibarra"/>
    <x v="5"/>
    <x v="4"/>
    <s v="Empresa de embarque B"/>
    <s v="Tarjeta de crédito"/>
    <s v="Chocolate"/>
    <x v="3"/>
    <n v="178.5"/>
    <n v="71"/>
    <x v="39"/>
  </r>
  <r>
    <n v="43"/>
    <x v="38"/>
    <n v="3986713828"/>
    <s v="Empresa H"/>
    <s v="Riobamba"/>
    <x v="2"/>
    <x v="2"/>
    <s v="Empresa de embarque B"/>
    <s v="Cheque"/>
    <s v="Chocolate"/>
    <x v="3"/>
    <n v="178.5"/>
    <n v="13"/>
    <x v="40"/>
  </r>
  <r>
    <n v="44"/>
    <x v="39"/>
    <n v="9350633665"/>
    <s v="Empresa Y"/>
    <s v="Esmeraldas"/>
    <x v="7"/>
    <x v="6"/>
    <s v="Empresa de embarque A"/>
    <s v="Efectivo"/>
    <s v="Condimento cajún"/>
    <x v="7"/>
    <n v="308"/>
    <n v="98"/>
    <x v="41"/>
  </r>
  <r>
    <n v="45"/>
    <x v="40"/>
    <n v="4918639925"/>
    <s v="Empresa Z"/>
    <s v="Quito"/>
    <x v="9"/>
    <x v="5"/>
    <s v="Empresa de embarque C"/>
    <s v="Tarjeta de crédito"/>
    <s v="Jalea de fresa"/>
    <x v="6"/>
    <n v="350"/>
    <n v="21"/>
    <x v="42"/>
  </r>
  <r>
    <n v="46"/>
    <x v="41"/>
    <n v="9630006862"/>
    <s v="Empresa CC"/>
    <s v="Guayaquil"/>
    <x v="3"/>
    <x v="3"/>
    <s v="Empresa de embarque B"/>
    <s v="Cheque"/>
    <s v="Cóctel de frutas"/>
    <x v="12"/>
    <n v="546"/>
    <n v="26"/>
    <x v="43"/>
  </r>
  <r>
    <n v="47"/>
    <x v="42"/>
    <n v="9029002933"/>
    <s v="Empresa F"/>
    <s v="Ibarra"/>
    <x v="5"/>
    <x v="4"/>
    <s v="Empresa de embarque C"/>
    <s v="Cheque"/>
    <s v="Peras secas"/>
    <x v="1"/>
    <n v="420"/>
    <n v="96"/>
    <x v="35"/>
  </r>
  <r>
    <n v="48"/>
    <x v="43"/>
    <n v="5702300844"/>
    <s v="Empresa F"/>
    <s v="Ibarra"/>
    <x v="5"/>
    <x v="4"/>
    <s v="Empresa de embarque C"/>
    <s v="Cheque"/>
    <s v="Manzanas secas"/>
    <x v="1"/>
    <n v="742"/>
    <n v="16"/>
    <x v="44"/>
  </r>
  <r>
    <n v="49"/>
    <x v="44"/>
    <n v="6885713027"/>
    <s v="Empresa D"/>
    <s v="Azogues"/>
    <x v="1"/>
    <x v="1"/>
    <m/>
    <m/>
    <s v="Pasta penne"/>
    <x v="9"/>
    <n v="532"/>
    <n v="96"/>
    <x v="45"/>
  </r>
  <r>
    <n v="50"/>
    <x v="12"/>
    <n v="5156178317"/>
    <s v="Empresa C"/>
    <s v="Machala"/>
    <x v="4"/>
    <x v="0"/>
    <m/>
    <m/>
    <s v="Té verde"/>
    <x v="0"/>
    <n v="41.86"/>
    <n v="75"/>
    <x v="46"/>
  </r>
  <r>
    <n v="51"/>
    <x v="45"/>
    <n v="9993785470"/>
    <s v="Empresa I"/>
    <s v="Guayaquil"/>
    <x v="3"/>
    <x v="7"/>
    <s v="Empresa de embarque A"/>
    <s v="Cheque"/>
    <s v="Ravioli"/>
    <x v="9"/>
    <n v="273"/>
    <n v="55"/>
    <x v="47"/>
  </r>
  <r>
    <n v="52"/>
    <x v="46"/>
    <n v="2344903076"/>
    <s v="Empresa I"/>
    <s v="Guayaquil"/>
    <x v="3"/>
    <x v="7"/>
    <s v="Empresa de embarque A"/>
    <s v="Cheque"/>
    <s v="Mozzarella"/>
    <x v="10"/>
    <n v="487.19999999999993"/>
    <n v="11"/>
    <x v="48"/>
  </r>
  <r>
    <n v="53"/>
    <x v="47"/>
    <n v="5773601950"/>
    <s v="Empresa F"/>
    <s v="Ibarra"/>
    <x v="5"/>
    <x v="4"/>
    <s v="Empresa de embarque B"/>
    <s v="Tarjeta de crédito"/>
    <s v="Cerveza"/>
    <x v="0"/>
    <n v="196"/>
    <n v="53"/>
    <x v="49"/>
  </r>
  <r>
    <n v="54"/>
    <x v="48"/>
    <n v="4818078168"/>
    <s v="Empresa H"/>
    <s v="Riobamba"/>
    <x v="2"/>
    <x v="2"/>
    <s v="Empresa de embarque B"/>
    <s v="Cheque"/>
    <s v="Salsa curry"/>
    <x v="5"/>
    <n v="560"/>
    <n v="85"/>
    <x v="50"/>
  </r>
  <r>
    <n v="55"/>
    <x v="49"/>
    <n v="9107195581"/>
    <s v="Empresa H"/>
    <s v="Riobamba"/>
    <x v="2"/>
    <x v="2"/>
    <s v="Empresa de embarque B"/>
    <s v="Cheque"/>
    <s v="Galletas de chocolate"/>
    <x v="2"/>
    <n v="128.79999999999998"/>
    <n v="97"/>
    <x v="51"/>
  </r>
  <r>
    <n v="56"/>
    <x v="50"/>
    <n v="5806733138"/>
    <s v="Empresa Y"/>
    <s v="Esmeraldas"/>
    <x v="7"/>
    <x v="6"/>
    <s v="Empresa de embarque A"/>
    <s v="Efectivo"/>
    <s v="Bolillos"/>
    <x v="2"/>
    <n v="140"/>
    <n v="46"/>
    <x v="52"/>
  </r>
  <r>
    <n v="57"/>
    <x v="51"/>
    <n v="3059258597"/>
    <s v="Empresa Z"/>
    <s v="Quito"/>
    <x v="9"/>
    <x v="5"/>
    <s v="Empresa de embarque C"/>
    <s v="Tarjeta de crédito"/>
    <s v="Aceite de oliva"/>
    <x v="13"/>
    <n v="298.90000000000003"/>
    <n v="97"/>
    <x v="53"/>
  </r>
  <r>
    <n v="58"/>
    <x v="52"/>
    <n v="586395005"/>
    <s v="Empresa Z"/>
    <s v="Quito"/>
    <x v="9"/>
    <x v="5"/>
    <s v="Empresa de embarque C"/>
    <s v="Tarjeta de crédito"/>
    <s v="Almejas"/>
    <x v="4"/>
    <n v="135.1"/>
    <n v="97"/>
    <x v="54"/>
  </r>
  <r>
    <n v="59"/>
    <x v="53"/>
    <n v="9281389647"/>
    <s v="Empresa Z"/>
    <s v="Quito"/>
    <x v="9"/>
    <x v="5"/>
    <s v="Empresa de embarque C"/>
    <s v="Tarjeta de crédito"/>
    <s v="Carne de cangrejo"/>
    <x v="8"/>
    <n v="257.59999999999997"/>
    <n v="65"/>
    <x v="55"/>
  </r>
  <r>
    <n v="60"/>
    <x v="54"/>
    <n v="2230409971"/>
    <s v="Empresa CC"/>
    <s v="Guayaquil"/>
    <x v="3"/>
    <x v="3"/>
    <s v="Empresa de embarque B"/>
    <s v="Cheque"/>
    <s v="Cerveza"/>
    <x v="0"/>
    <n v="196"/>
    <n v="72"/>
    <x v="56"/>
  </r>
  <r>
    <n v="61"/>
    <x v="34"/>
    <n v="498762200"/>
    <s v="Empresa F"/>
    <s v="Ibarra"/>
    <x v="5"/>
    <x v="4"/>
    <s v="Empresa de embarque C"/>
    <s v="Cheque"/>
    <s v="Chocolate"/>
    <x v="3"/>
    <n v="178.5"/>
    <n v="16"/>
    <x v="57"/>
  </r>
  <r>
    <n v="62"/>
    <x v="55"/>
    <n v="5059332572"/>
    <s v="Empresa D"/>
    <s v="Azogues"/>
    <x v="1"/>
    <x v="1"/>
    <s v="Empresa de embarque A"/>
    <s v="Tarjeta de crédito"/>
    <s v="Mermelada de zarzamora"/>
    <x v="6"/>
    <n v="1134"/>
    <n v="77"/>
    <x v="58"/>
  </r>
  <r>
    <n v="63"/>
    <x v="56"/>
    <n v="807667000"/>
    <s v="Empresa D"/>
    <s v="Azogues"/>
    <x v="1"/>
    <x v="1"/>
    <s v="Empresa de embarque A"/>
    <s v="Tarjeta de crédito"/>
    <s v="Arroz de grano largo"/>
    <x v="14"/>
    <n v="98"/>
    <n v="37"/>
    <x v="59"/>
  </r>
  <r>
    <n v="64"/>
    <x v="57"/>
    <n v="4320869422"/>
    <s v="Empresa H"/>
    <s v="Riobamba"/>
    <x v="2"/>
    <x v="2"/>
    <s v="Empresa de embarque C"/>
    <s v="Tarjeta de crédito"/>
    <s v="Mozzarella"/>
    <x v="10"/>
    <n v="487.19999999999993"/>
    <n v="63"/>
    <x v="60"/>
  </r>
  <r>
    <n v="65"/>
    <x v="58"/>
    <n v="7227542762"/>
    <s v="Empresa C"/>
    <s v="Machala"/>
    <x v="4"/>
    <x v="0"/>
    <s v="Empresa de embarque B"/>
    <s v="Efectivo"/>
    <s v="Jarabe"/>
    <x v="7"/>
    <n v="140"/>
    <n v="48"/>
    <x v="61"/>
  </r>
  <r>
    <n v="66"/>
    <x v="59"/>
    <n v="4844854212"/>
    <s v="Empresa C"/>
    <s v="Machala"/>
    <x v="4"/>
    <x v="0"/>
    <s v="Empresa de embarque B"/>
    <s v="Efectivo"/>
    <s v="Salsa curry"/>
    <x v="5"/>
    <n v="560"/>
    <n v="71"/>
    <x v="62"/>
  </r>
  <r>
    <n v="67"/>
    <x v="60"/>
    <n v="6476704094"/>
    <s v="Empresa J"/>
    <s v="Esmeraldas"/>
    <x v="7"/>
    <x v="6"/>
    <s v="Empresa de embarque B"/>
    <s v="Tarjeta de crédito"/>
    <s v="Almendras"/>
    <x v="1"/>
    <n v="140"/>
    <n v="55"/>
    <x v="63"/>
  </r>
  <r>
    <n v="68"/>
    <x v="61"/>
    <n v="289513623"/>
    <s v="Empresa J"/>
    <s v="Esmeraldas"/>
    <x v="7"/>
    <x v="6"/>
    <s v="Empresa de embarque A"/>
    <m/>
    <s v="Ciruelas secas"/>
    <x v="1"/>
    <n v="49"/>
    <n v="21"/>
    <x v="64"/>
  </r>
  <r>
    <n v="69"/>
    <x v="62"/>
    <n v="4360909288"/>
    <s v="Empresa K"/>
    <s v="Quito"/>
    <x v="9"/>
    <x v="5"/>
    <s v="Empresa de embarque C"/>
    <m/>
    <s v="Salsa curry"/>
    <x v="5"/>
    <n v="560"/>
    <n v="67"/>
    <x v="65"/>
  </r>
  <r>
    <n v="70"/>
    <x v="63"/>
    <n v="1569352924"/>
    <s v="Empresa A"/>
    <s v="Ambato"/>
    <x v="10"/>
    <x v="2"/>
    <s v="Empresa de embarque C"/>
    <m/>
    <s v="Carne de cangrejo"/>
    <x v="8"/>
    <n v="257.59999999999997"/>
    <n v="75"/>
    <x v="66"/>
  </r>
  <r>
    <n v="71"/>
    <x v="64"/>
    <n v="4417023777"/>
    <s v="Empresa BB"/>
    <s v="Manta"/>
    <x v="6"/>
    <x v="5"/>
    <s v="Empresa de embarque C"/>
    <s v="Tarjeta de crédito"/>
    <s v="Café"/>
    <x v="0"/>
    <n v="644"/>
    <n v="17"/>
    <x v="67"/>
  </r>
  <r>
    <n v="72"/>
    <x v="28"/>
    <n v="5213348963"/>
    <s v="Empresa D"/>
    <s v="Azogues"/>
    <x v="1"/>
    <x v="1"/>
    <s v="Empresa de embarque A"/>
    <s v="Tarjeta de crédito"/>
    <s v="Ciruelas secas"/>
    <x v="1"/>
    <n v="49"/>
    <n v="48"/>
    <x v="68"/>
  </r>
  <r>
    <n v="73"/>
    <x v="65"/>
    <n v="6039525395"/>
    <s v="Empresa L"/>
    <s v="Cuenca"/>
    <x v="0"/>
    <x v="0"/>
    <s v="Empresa de embarque B"/>
    <s v="Tarjeta de crédito"/>
    <s v="Té chai"/>
    <x v="0"/>
    <n v="252"/>
    <n v="74"/>
    <x v="69"/>
  </r>
  <r>
    <n v="74"/>
    <x v="47"/>
    <n v="7564866770"/>
    <s v="Empresa L"/>
    <s v="Cuenca"/>
    <x v="0"/>
    <x v="0"/>
    <s v="Empresa de embarque B"/>
    <s v="Tarjeta de crédito"/>
    <s v="Café"/>
    <x v="0"/>
    <n v="644"/>
    <n v="96"/>
    <x v="70"/>
  </r>
  <r>
    <n v="75"/>
    <x v="66"/>
    <n v="9161740728"/>
    <s v="Empresa H"/>
    <s v="Riobamba"/>
    <x v="2"/>
    <x v="2"/>
    <s v="Empresa de embarque C"/>
    <s v="Tarjeta de crédito"/>
    <s v="Galletas de chocolate"/>
    <x v="2"/>
    <n v="128.79999999999998"/>
    <n v="12"/>
    <x v="71"/>
  </r>
  <r>
    <n v="76"/>
    <x v="67"/>
    <n v="5854661633"/>
    <s v="Empresa D"/>
    <s v="Azogues"/>
    <x v="1"/>
    <x v="1"/>
    <s v="Empresa de embarque C"/>
    <s v="Cheque"/>
    <s v="Galletas de chocolate"/>
    <x v="2"/>
    <n v="128.79999999999998"/>
    <n v="62"/>
    <x v="72"/>
  </r>
  <r>
    <n v="77"/>
    <x v="68"/>
    <n v="9782824487"/>
    <s v="Empresa CC"/>
    <s v="Guayaquil"/>
    <x v="3"/>
    <x v="3"/>
    <s v="Empresa de embarque B"/>
    <s v="Cheque"/>
    <s v="Chocolate"/>
    <x v="3"/>
    <n v="178.5"/>
    <n v="35"/>
    <x v="73"/>
  </r>
  <r>
    <n v="78"/>
    <x v="69"/>
    <n v="5368581132"/>
    <s v="Empresa C"/>
    <s v="Machala"/>
    <x v="4"/>
    <x v="0"/>
    <s v="Empresa de embarque B"/>
    <s v="Efectivo"/>
    <s v="Almejas"/>
    <x v="4"/>
    <n v="135.1"/>
    <n v="95"/>
    <x v="74"/>
  </r>
  <r>
    <n v="79"/>
    <x v="70"/>
    <n v="1972466220"/>
    <s v="Empresa F"/>
    <s v="Ibarra"/>
    <x v="5"/>
    <x v="4"/>
    <s v="Empresa de embarque B"/>
    <s v="Tarjeta de crédito"/>
    <s v="Salsa curry"/>
    <x v="5"/>
    <n v="560"/>
    <n v="17"/>
    <x v="75"/>
  </r>
  <r>
    <n v="80"/>
    <x v="71"/>
    <n v="6835780904"/>
    <s v="Empresa BB"/>
    <s v="Manta"/>
    <x v="6"/>
    <x v="5"/>
    <s v="Empresa de embarque C"/>
    <s v="Cheque"/>
    <s v="Café"/>
    <x v="0"/>
    <n v="644"/>
    <n v="96"/>
    <x v="70"/>
  </r>
  <r>
    <n v="81"/>
    <x v="72"/>
    <n v="9361876990"/>
    <s v="Empresa H"/>
    <s v="Riobamba"/>
    <x v="2"/>
    <x v="2"/>
    <s v="Empresa de embarque C"/>
    <s v="Cheque"/>
    <s v="Chocolate"/>
    <x v="3"/>
    <n v="178.5"/>
    <n v="83"/>
    <x v="76"/>
  </r>
  <r>
    <n v="82"/>
    <x v="73"/>
    <n v="7655628230"/>
    <s v="Empresa J"/>
    <s v="Esmeraldas"/>
    <x v="7"/>
    <x v="6"/>
    <s v="Empresa de embarque B"/>
    <s v="Tarjeta de crédito"/>
    <s v="Té verde"/>
    <x v="0"/>
    <n v="41.86"/>
    <n v="88"/>
    <x v="77"/>
  </r>
  <r>
    <n v="83"/>
    <x v="35"/>
    <n v="6770397729"/>
    <s v="Empresa G"/>
    <s v="Guaranda"/>
    <x v="8"/>
    <x v="2"/>
    <m/>
    <m/>
    <s v="Café"/>
    <x v="0"/>
    <n v="644"/>
    <n v="59"/>
    <x v="78"/>
  </r>
  <r>
    <n v="84"/>
    <x v="74"/>
    <n v="6622149015"/>
    <s v="Empresa J"/>
    <s v="Esmeraldas"/>
    <x v="7"/>
    <x v="6"/>
    <s v="Empresa de embarque A"/>
    <m/>
    <s v="Jalea de fresa"/>
    <x v="6"/>
    <n v="350"/>
    <n v="27"/>
    <x v="79"/>
  </r>
  <r>
    <n v="85"/>
    <x v="75"/>
    <n v="8859429908"/>
    <s v="Empresa J"/>
    <s v="Esmeraldas"/>
    <x v="7"/>
    <x v="6"/>
    <s v="Empresa de embarque A"/>
    <m/>
    <s v="Condimento cajún"/>
    <x v="7"/>
    <n v="308"/>
    <n v="37"/>
    <x v="80"/>
  </r>
  <r>
    <n v="86"/>
    <x v="76"/>
    <n v="146252536"/>
    <s v="Empresa J"/>
    <s v="Esmeraldas"/>
    <x v="7"/>
    <x v="6"/>
    <s v="Empresa de embarque A"/>
    <m/>
    <s v="Galletas de chocolate"/>
    <x v="2"/>
    <n v="128.79999999999998"/>
    <n v="75"/>
    <x v="81"/>
  </r>
  <r>
    <n v="87"/>
    <x v="77"/>
    <n v="9010865731"/>
    <s v="Empresa K"/>
    <s v="Quito"/>
    <x v="9"/>
    <x v="5"/>
    <s v="Empresa de embarque C"/>
    <m/>
    <s v="Ciruelas secas"/>
    <x v="1"/>
    <n v="49"/>
    <n v="71"/>
    <x v="82"/>
  </r>
  <r>
    <n v="88"/>
    <x v="78"/>
    <n v="9076170123"/>
    <s v="Empresa K"/>
    <s v="Quito"/>
    <x v="9"/>
    <x v="5"/>
    <s v="Empresa de embarque C"/>
    <m/>
    <s v="Té verde"/>
    <x v="0"/>
    <n v="41.86"/>
    <n v="88"/>
    <x v="77"/>
  </r>
  <r>
    <n v="89"/>
    <x v="79"/>
    <n v="4412491838"/>
    <s v="Empresa A"/>
    <s v="Ambato"/>
    <x v="10"/>
    <x v="2"/>
    <m/>
    <m/>
    <s v="Té chai"/>
    <x v="0"/>
    <n v="252"/>
    <n v="55"/>
    <x v="83"/>
  </r>
  <r>
    <n v="90"/>
    <x v="50"/>
    <n v="7223227521"/>
    <s v="Empresa CC"/>
    <s v="Guayaquil"/>
    <x v="3"/>
    <x v="3"/>
    <s v="Empresa de embarque B"/>
    <s v="Cheque"/>
    <s v="Chocolate"/>
    <x v="3"/>
    <n v="178.5"/>
    <n v="14"/>
    <x v="84"/>
  </r>
  <r>
    <n v="91"/>
    <x v="80"/>
    <n v="9595973394"/>
    <s v="Empresa C"/>
    <s v="Machala"/>
    <x v="4"/>
    <x v="0"/>
    <s v="Empresa de embarque B"/>
    <s v="Efectivo"/>
    <s v="Almejas"/>
    <x v="4"/>
    <n v="135.1"/>
    <n v="43"/>
    <x v="85"/>
  </r>
  <r>
    <n v="92"/>
    <x v="81"/>
    <n v="2755531090"/>
    <s v="Empresa F"/>
    <s v="Ibarra"/>
    <x v="5"/>
    <x v="4"/>
    <s v="Empresa de embarque B"/>
    <s v="Tarjeta de crédito"/>
    <s v="Salsa curry"/>
    <x v="5"/>
    <n v="560"/>
    <n v="63"/>
    <x v="86"/>
  </r>
  <r>
    <n v="93"/>
    <x v="82"/>
    <n v="5306800000"/>
    <s v="Empresa BB"/>
    <s v="Manta"/>
    <x v="6"/>
    <x v="5"/>
    <s v="Empresa de embarque C"/>
    <s v="Cheque"/>
    <s v="Café"/>
    <x v="0"/>
    <n v="644"/>
    <n v="36"/>
    <x v="87"/>
  </r>
  <r>
    <n v="94"/>
    <x v="54"/>
    <n v="6768826719"/>
    <s v="Empresa H"/>
    <s v="Riobamba"/>
    <x v="2"/>
    <x v="2"/>
    <s v="Empresa de embarque C"/>
    <s v="Cheque"/>
    <s v="Chocolate"/>
    <x v="3"/>
    <n v="178.5"/>
    <n v="41"/>
    <x v="88"/>
  </r>
  <r>
    <n v="95"/>
    <x v="83"/>
    <n v="7945500000"/>
    <s v="Empresa J"/>
    <s v="Esmeraldas"/>
    <x v="7"/>
    <x v="6"/>
    <s v="Empresa de embarque B"/>
    <s v="Tarjeta de crédito"/>
    <s v="Té verde"/>
    <x v="0"/>
    <n v="41.86"/>
    <n v="35"/>
    <x v="89"/>
  </r>
  <r>
    <n v="96"/>
    <x v="83"/>
    <n v="4671327569"/>
    <s v="Empresa G"/>
    <s v="Guaranda"/>
    <x v="8"/>
    <x v="2"/>
    <m/>
    <m/>
    <s v="Café"/>
    <x v="0"/>
    <n v="644"/>
    <n v="31"/>
    <x v="90"/>
  </r>
  <r>
    <n v="97"/>
    <x v="84"/>
    <n v="5750783013"/>
    <s v="Empresa J"/>
    <s v="Esmeraldas"/>
    <x v="7"/>
    <x v="6"/>
    <s v="Empresa de embarque A"/>
    <m/>
    <s v="Jalea de fresa"/>
    <x v="6"/>
    <n v="350"/>
    <n v="52"/>
    <x v="91"/>
  </r>
  <r>
    <n v="98"/>
    <x v="85"/>
    <n v="1216202808"/>
    <s v="Empresa J"/>
    <s v="Esmeraldas"/>
    <x v="7"/>
    <x v="6"/>
    <s v="Empresa de embarque A"/>
    <m/>
    <s v="Condimento cajún"/>
    <x v="7"/>
    <n v="308"/>
    <n v="30"/>
    <x v="92"/>
  </r>
  <r>
    <n v="99"/>
    <x v="86"/>
    <n v="7167041532"/>
    <s v="Empresa J"/>
    <s v="Esmeraldas"/>
    <x v="7"/>
    <x v="6"/>
    <s v="Empresa de embarque A"/>
    <m/>
    <s v="Galletas de chocolate"/>
    <x v="2"/>
    <n v="128.79999999999998"/>
    <n v="41"/>
    <x v="93"/>
  </r>
  <r>
    <n v="100"/>
    <x v="87"/>
    <n v="2241191338"/>
    <s v="Empresa K"/>
    <s v="Quito"/>
    <x v="9"/>
    <x v="5"/>
    <s v="Empresa de embarque C"/>
    <m/>
    <s v="Ciruelas secas"/>
    <x v="1"/>
    <n v="49"/>
    <n v="44"/>
    <x v="94"/>
  </r>
  <r>
    <n v="101"/>
    <x v="88"/>
    <n v="806264266"/>
    <s v="Empresa K"/>
    <s v="Quito"/>
    <x v="9"/>
    <x v="5"/>
    <s v="Empresa de embarque C"/>
    <m/>
    <s v="Té verde"/>
    <x v="0"/>
    <n v="41.86"/>
    <n v="77"/>
    <x v="95"/>
  </r>
  <r>
    <n v="102"/>
    <x v="89"/>
    <n v="3820174684"/>
    <s v="Empresa A"/>
    <s v="Ambato"/>
    <x v="10"/>
    <x v="2"/>
    <m/>
    <m/>
    <s v="Té chai"/>
    <x v="0"/>
    <n v="252"/>
    <n v="29"/>
    <x v="96"/>
  </r>
  <r>
    <n v="103"/>
    <x v="90"/>
    <n v="5541796483"/>
    <s v="Empresa A"/>
    <s v="Ambato"/>
    <x v="10"/>
    <x v="2"/>
    <m/>
    <m/>
    <s v="Café"/>
    <x v="0"/>
    <n v="644"/>
    <n v="77"/>
    <x v="97"/>
  </r>
  <r>
    <n v="104"/>
    <x v="91"/>
    <n v="7096714976"/>
    <s v="Empresa A"/>
    <s v="Ambato"/>
    <x v="10"/>
    <x v="2"/>
    <m/>
    <m/>
    <s v="Té verde"/>
    <x v="0"/>
    <n v="41.86"/>
    <n v="73"/>
    <x v="98"/>
  </r>
  <r>
    <n v="105"/>
    <x v="92"/>
    <n v="2543114862"/>
    <s v="Empresa BB"/>
    <s v="Manta"/>
    <x v="6"/>
    <x v="5"/>
    <s v="Empresa de embarque C"/>
    <s v="Tarjeta de crédito"/>
    <s v="Almejas"/>
    <x v="4"/>
    <n v="135.1"/>
    <n v="74"/>
    <x v="99"/>
  </r>
  <r>
    <n v="106"/>
    <x v="38"/>
    <n v="6501127347"/>
    <s v="Empresa BB"/>
    <s v="Manta"/>
    <x v="6"/>
    <x v="5"/>
    <s v="Empresa de embarque C"/>
    <s v="Tarjeta de crédito"/>
    <s v="Carne de cangrejo"/>
    <x v="8"/>
    <n v="257.59999999999997"/>
    <n v="25"/>
    <x v="100"/>
  </r>
  <r>
    <n v="107"/>
    <x v="93"/>
    <n v="1322296163"/>
    <s v="Empresa I"/>
    <s v="Guayaquil"/>
    <x v="3"/>
    <x v="7"/>
    <s v="Empresa de embarque A"/>
    <s v="Cheque"/>
    <s v="Ravioli"/>
    <x v="9"/>
    <n v="273"/>
    <n v="82"/>
    <x v="101"/>
  </r>
  <r>
    <n v="108"/>
    <x v="94"/>
    <n v="5162222472"/>
    <s v="Empresa I"/>
    <s v="Guayaquil"/>
    <x v="3"/>
    <x v="7"/>
    <s v="Empresa de embarque A"/>
    <s v="Cheque"/>
    <s v="Mozzarella"/>
    <x v="10"/>
    <n v="487.19999999999993"/>
    <n v="37"/>
    <x v="102"/>
  </r>
  <r>
    <n v="109"/>
    <x v="95"/>
    <n v="5752777715"/>
    <s v="Empresa F"/>
    <s v="Ibarra"/>
    <x v="5"/>
    <x v="4"/>
    <s v="Empresa de embarque B"/>
    <s v="Tarjeta de crédito"/>
    <s v="Cerveza"/>
    <x v="0"/>
    <n v="196"/>
    <n v="84"/>
    <x v="103"/>
  </r>
  <r>
    <n v="110"/>
    <x v="85"/>
    <n v="2261700341"/>
    <s v="Empresa H"/>
    <s v="Riobamba"/>
    <x v="2"/>
    <x v="2"/>
    <s v="Empresa de embarque B"/>
    <s v="Cheque"/>
    <s v="Salsa curry"/>
    <x v="5"/>
    <n v="560"/>
    <n v="73"/>
    <x v="104"/>
  </r>
  <r>
    <n v="111"/>
    <x v="96"/>
    <n v="9950546196"/>
    <s v="Empresa H"/>
    <s v="Riobamba"/>
    <x v="2"/>
    <x v="2"/>
    <s v="Empresa de embarque B"/>
    <s v="Cheque"/>
    <s v="Galletas de chocolate"/>
    <x v="2"/>
    <n v="128.79999999999998"/>
    <n v="51"/>
    <x v="105"/>
  </r>
  <r>
    <n v="112"/>
    <x v="97"/>
    <n v="9911266011"/>
    <s v="Empresa Y"/>
    <s v="Esmeraldas"/>
    <x v="7"/>
    <x v="6"/>
    <s v="Empresa de embarque A"/>
    <s v="Efectivo"/>
    <s v="Bolillos"/>
    <x v="2"/>
    <n v="140"/>
    <n v="66"/>
    <x v="92"/>
  </r>
  <r>
    <n v="113"/>
    <x v="98"/>
    <n v="8455987495"/>
    <s v="Empresa Z"/>
    <s v="Quito"/>
    <x v="9"/>
    <x v="5"/>
    <s v="Empresa de embarque C"/>
    <s v="Tarjeta de crédito"/>
    <s v="Aceite de oliva"/>
    <x v="13"/>
    <n v="298.90000000000003"/>
    <n v="36"/>
    <x v="106"/>
  </r>
  <r>
    <n v="114"/>
    <x v="63"/>
    <n v="6668567210"/>
    <s v="Empresa Z"/>
    <s v="Quito"/>
    <x v="9"/>
    <x v="5"/>
    <s v="Empresa de embarque C"/>
    <s v="Tarjeta de crédito"/>
    <s v="Almejas"/>
    <x v="4"/>
    <n v="135.1"/>
    <n v="87"/>
    <x v="107"/>
  </r>
  <r>
    <n v="115"/>
    <x v="99"/>
    <n v="9528620750"/>
    <s v="Empresa Z"/>
    <s v="Quito"/>
    <x v="9"/>
    <x v="5"/>
    <s v="Empresa de embarque C"/>
    <s v="Tarjeta de crédito"/>
    <s v="Carne de cangrejo"/>
    <x v="8"/>
    <n v="257.59999999999997"/>
    <n v="64"/>
    <x v="108"/>
  </r>
  <r>
    <n v="116"/>
    <x v="100"/>
    <n v="1951835035"/>
    <s v="Empresa CC"/>
    <s v="Guayaquil"/>
    <x v="3"/>
    <x v="3"/>
    <s v="Empresa de embarque B"/>
    <s v="Cheque"/>
    <s v="Cerveza"/>
    <x v="0"/>
    <n v="196"/>
    <n v="21"/>
    <x v="109"/>
  </r>
  <r>
    <n v="117"/>
    <x v="101"/>
    <n v="8464805926"/>
    <s v="Empresa F"/>
    <s v="Ibarra"/>
    <x v="5"/>
    <x v="4"/>
    <s v="Empresa de embarque C"/>
    <s v="Cheque"/>
    <s v="Chocolate"/>
    <x v="3"/>
    <n v="178.5"/>
    <n v="19"/>
    <x v="110"/>
  </r>
  <r>
    <n v="118"/>
    <x v="102"/>
    <n v="1040241832"/>
    <s v="Empresa D"/>
    <s v="Azogues"/>
    <x v="1"/>
    <x v="1"/>
    <s v="Empresa de embarque A"/>
    <s v="Tarjeta de crédito"/>
    <s v="Mermelada de zarzamora"/>
    <x v="6"/>
    <n v="1134"/>
    <n v="23"/>
    <x v="111"/>
  </r>
  <r>
    <n v="119"/>
    <x v="103"/>
    <n v="5032769390"/>
    <s v="Empresa D"/>
    <s v="Azogues"/>
    <x v="1"/>
    <x v="1"/>
    <s v="Empresa de embarque A"/>
    <s v="Tarjeta de crédito"/>
    <s v="Arroz de grano largo"/>
    <x v="14"/>
    <n v="98"/>
    <n v="72"/>
    <x v="112"/>
  </r>
  <r>
    <n v="120"/>
    <x v="104"/>
    <n v="5375997402"/>
    <s v="Empresa H"/>
    <s v="Riobamba"/>
    <x v="2"/>
    <x v="2"/>
    <s v="Empresa de embarque C"/>
    <s v="Tarjeta de crédito"/>
    <s v="Mozzarella"/>
    <x v="10"/>
    <n v="487.19999999999993"/>
    <n v="22"/>
    <x v="113"/>
  </r>
  <r>
    <n v="121"/>
    <x v="105"/>
    <n v="967566383"/>
    <s v="Empresa C"/>
    <s v="Machala"/>
    <x v="4"/>
    <x v="0"/>
    <s v="Empresa de embarque B"/>
    <s v="Efectivo"/>
    <s v="Jarabe"/>
    <x v="7"/>
    <n v="140"/>
    <n v="82"/>
    <x v="114"/>
  </r>
  <r>
    <n v="122"/>
    <x v="106"/>
    <n v="7607007457"/>
    <s v="Empresa C"/>
    <s v="Machala"/>
    <x v="4"/>
    <x v="0"/>
    <s v="Empresa de embarque B"/>
    <s v="Efectivo"/>
    <s v="Salsa curry"/>
    <x v="5"/>
    <n v="560"/>
    <n v="98"/>
    <x v="115"/>
  </r>
  <r>
    <n v="123"/>
    <x v="107"/>
    <n v="6139722497"/>
    <s v="Empresa G"/>
    <s v="Guaranda"/>
    <x v="8"/>
    <x v="2"/>
    <m/>
    <m/>
    <s v="Café"/>
    <x v="0"/>
    <n v="644"/>
    <n v="71"/>
    <x v="116"/>
  </r>
  <r>
    <n v="124"/>
    <x v="79"/>
    <n v="6071133871"/>
    <s v="Empresa J"/>
    <s v="Esmeraldas"/>
    <x v="7"/>
    <x v="6"/>
    <s v="Empresa de embarque A"/>
    <m/>
    <s v="Jalea de fresa"/>
    <x v="6"/>
    <n v="350"/>
    <n v="40"/>
    <x v="117"/>
  </r>
  <r>
    <n v="125"/>
    <x v="108"/>
    <n v="8634772142"/>
    <s v="Empresa J"/>
    <s v="Esmeraldas"/>
    <x v="7"/>
    <x v="6"/>
    <s v="Empresa de embarque A"/>
    <m/>
    <s v="Condimento cajún"/>
    <x v="7"/>
    <n v="308"/>
    <n v="80"/>
    <x v="118"/>
  </r>
  <r>
    <n v="126"/>
    <x v="109"/>
    <n v="5431718510"/>
    <s v="Empresa J"/>
    <s v="Esmeraldas"/>
    <x v="7"/>
    <x v="6"/>
    <s v="Empresa de embarque A"/>
    <m/>
    <s v="Galletas de chocolate"/>
    <x v="2"/>
    <n v="128.79999999999998"/>
    <n v="38"/>
    <x v="119"/>
  </r>
  <r>
    <n v="127"/>
    <x v="110"/>
    <n v="7109276915"/>
    <s v="Empresa K"/>
    <s v="Quito"/>
    <x v="9"/>
    <x v="5"/>
    <s v="Empresa de embarque C"/>
    <m/>
    <s v="Ciruelas secas"/>
    <x v="1"/>
    <n v="49"/>
    <n v="28"/>
    <x v="120"/>
  </r>
  <r>
    <n v="128"/>
    <x v="111"/>
    <n v="8479136081"/>
    <s v="Empresa K"/>
    <s v="Quito"/>
    <x v="9"/>
    <x v="5"/>
    <s v="Empresa de embarque C"/>
    <m/>
    <s v="Té verde"/>
    <x v="0"/>
    <n v="41.86"/>
    <n v="60"/>
    <x v="121"/>
  </r>
  <r>
    <n v="129"/>
    <x v="26"/>
    <n v="7132355278"/>
    <s v="Empresa A"/>
    <s v="Ambato"/>
    <x v="10"/>
    <x v="2"/>
    <m/>
    <m/>
    <s v="Té chai"/>
    <x v="0"/>
    <n v="252"/>
    <n v="33"/>
    <x v="122"/>
  </r>
  <r>
    <n v="130"/>
    <x v="78"/>
    <n v="2885792785"/>
    <s v="Empresa A"/>
    <s v="Ambato"/>
    <x v="10"/>
    <x v="2"/>
    <m/>
    <m/>
    <s v="Café"/>
    <x v="0"/>
    <n v="644"/>
    <n v="22"/>
    <x v="123"/>
  </r>
  <r>
    <n v="131"/>
    <x v="112"/>
    <n v="3723941023"/>
    <s v="Empresa A"/>
    <s v="Ambato"/>
    <x v="10"/>
    <x v="2"/>
    <m/>
    <m/>
    <s v="Té verde"/>
    <x v="0"/>
    <n v="41.86"/>
    <n v="51"/>
    <x v="124"/>
  </r>
  <r>
    <n v="132"/>
    <x v="113"/>
    <n v="4827836337"/>
    <s v="Empresa BB"/>
    <s v="Manta"/>
    <x v="6"/>
    <x v="5"/>
    <s v="Empresa de embarque C"/>
    <s v="Tarjeta de crédito"/>
    <s v="Almejas"/>
    <x v="4"/>
    <n v="135.1"/>
    <n v="60"/>
    <x v="125"/>
  </r>
  <r>
    <n v="133"/>
    <x v="114"/>
    <n v="2633840866"/>
    <s v="Empresa BB"/>
    <s v="Manta"/>
    <x v="6"/>
    <x v="5"/>
    <s v="Empresa de embarque C"/>
    <s v="Tarjeta de crédito"/>
    <s v="Carne de cangrejo"/>
    <x v="8"/>
    <n v="257.59999999999997"/>
    <n v="98"/>
    <x v="126"/>
  </r>
  <r>
    <n v="134"/>
    <x v="115"/>
    <n v="2489359003"/>
    <s v="Empresa I"/>
    <s v="Guayaquil"/>
    <x v="3"/>
    <x v="7"/>
    <s v="Empresa de embarque A"/>
    <s v="Cheque"/>
    <s v="Ravioli"/>
    <x v="9"/>
    <n v="273"/>
    <n v="27"/>
    <x v="127"/>
  </r>
  <r>
    <n v="135"/>
    <x v="116"/>
    <n v="2347277376"/>
    <s v="Empresa I"/>
    <s v="Guayaquil"/>
    <x v="3"/>
    <x v="7"/>
    <s v="Empresa de embarque A"/>
    <s v="Cheque"/>
    <s v="Mozzarella"/>
    <x v="10"/>
    <n v="487.19999999999993"/>
    <n v="88"/>
    <x v="128"/>
  </r>
  <r>
    <n v="136"/>
    <x v="117"/>
    <n v="2071690973"/>
    <s v="Empresa F"/>
    <s v="Ibarra"/>
    <x v="5"/>
    <x v="4"/>
    <s v="Empresa de embarque B"/>
    <s v="Tarjeta de crédito"/>
    <s v="Cerveza"/>
    <x v="0"/>
    <n v="196"/>
    <n v="65"/>
    <x v="129"/>
  </r>
  <r>
    <n v="137"/>
    <x v="118"/>
    <n v="1196729221"/>
    <s v="Empresa H"/>
    <s v="Riobamba"/>
    <x v="2"/>
    <x v="2"/>
    <s v="Empresa de embarque B"/>
    <s v="Cheque"/>
    <s v="Salsa curry"/>
    <x v="5"/>
    <n v="560"/>
    <n v="38"/>
    <x v="130"/>
  </r>
  <r>
    <n v="138"/>
    <x v="119"/>
    <n v="9020365601"/>
    <s v="Empresa H"/>
    <s v="Riobamba"/>
    <x v="2"/>
    <x v="2"/>
    <s v="Empresa de embarque B"/>
    <s v="Cheque"/>
    <s v="Galletas de chocolate"/>
    <x v="2"/>
    <n v="128.79999999999998"/>
    <n v="80"/>
    <x v="131"/>
  </r>
  <r>
    <n v="139"/>
    <x v="120"/>
    <n v="4818692078"/>
    <s v="Empresa Y"/>
    <s v="Esmeraldas"/>
    <x v="7"/>
    <x v="6"/>
    <s v="Empresa de embarque A"/>
    <s v="Efectivo"/>
    <s v="Bolillos"/>
    <x v="2"/>
    <n v="140"/>
    <n v="49"/>
    <x v="132"/>
  </r>
  <r>
    <n v="140"/>
    <x v="121"/>
    <n v="6502762369"/>
    <s v="Empresa Z"/>
    <s v="Quito"/>
    <x v="9"/>
    <x v="5"/>
    <s v="Empresa de embarque C"/>
    <s v="Tarjeta de crédito"/>
    <s v="Aceite de oliva"/>
    <x v="13"/>
    <n v="298.90000000000003"/>
    <n v="90"/>
    <x v="133"/>
  </r>
  <r>
    <n v="141"/>
    <x v="122"/>
    <n v="924402492"/>
    <s v="Empresa Z"/>
    <s v="Quito"/>
    <x v="9"/>
    <x v="5"/>
    <s v="Empresa de embarque C"/>
    <s v="Tarjeta de crédito"/>
    <s v="Almejas"/>
    <x v="4"/>
    <n v="135.1"/>
    <n v="60"/>
    <x v="125"/>
  </r>
  <r>
    <n v="142"/>
    <x v="123"/>
    <n v="5633857209"/>
    <s v="Empresa Z"/>
    <s v="Quito"/>
    <x v="9"/>
    <x v="5"/>
    <s v="Empresa de embarque C"/>
    <s v="Tarjeta de crédito"/>
    <s v="Carne de cangrejo"/>
    <x v="8"/>
    <n v="257.59999999999997"/>
    <n v="39"/>
    <x v="134"/>
  </r>
  <r>
    <n v="143"/>
    <x v="124"/>
    <n v="9715216432"/>
    <s v="Empresa CC"/>
    <s v="Guayaquil"/>
    <x v="3"/>
    <x v="3"/>
    <s v="Empresa de embarque B"/>
    <s v="Cheque"/>
    <s v="Cerveza"/>
    <x v="0"/>
    <n v="196"/>
    <n v="79"/>
    <x v="135"/>
  </r>
  <r>
    <n v="144"/>
    <x v="84"/>
    <n v="2808433382"/>
    <s v="Empresa F"/>
    <s v="Ibarra"/>
    <x v="5"/>
    <x v="4"/>
    <s v="Empresa de embarque C"/>
    <s v="Cheque"/>
    <s v="Chocolate"/>
    <x v="3"/>
    <n v="178.5"/>
    <n v="44"/>
    <x v="136"/>
  </r>
  <r>
    <n v="145"/>
    <x v="125"/>
    <n v="5585231955"/>
    <s v="Empresa D"/>
    <s v="Azogues"/>
    <x v="1"/>
    <x v="1"/>
    <s v="Empresa de embarque A"/>
    <s v="Tarjeta de crédito"/>
    <s v="Mermelada de zarzamora"/>
    <x v="6"/>
    <n v="1134"/>
    <n v="98"/>
    <x v="137"/>
  </r>
  <r>
    <n v="146"/>
    <x v="126"/>
    <n v="4338999814"/>
    <s v="Empresa D"/>
    <s v="Azogues"/>
    <x v="1"/>
    <x v="1"/>
    <s v="Empresa de embarque A"/>
    <s v="Tarjeta de crédito"/>
    <s v="Arroz de grano largo"/>
    <x v="14"/>
    <n v="98"/>
    <n v="61"/>
    <x v="138"/>
  </r>
  <r>
    <n v="147"/>
    <x v="127"/>
    <n v="3475726472"/>
    <s v="Empresa H"/>
    <s v="Riobamba"/>
    <x v="2"/>
    <x v="2"/>
    <s v="Empresa de embarque C"/>
    <s v="Tarjeta de crédito"/>
    <s v="Mozzarella"/>
    <x v="10"/>
    <n v="487.19999999999993"/>
    <n v="30"/>
    <x v="139"/>
  </r>
  <r>
    <n v="148"/>
    <x v="128"/>
    <n v="9727843310"/>
    <s v="Empresa C"/>
    <s v="Machala"/>
    <x v="4"/>
    <x v="0"/>
    <s v="Empresa de embarque B"/>
    <s v="Efectivo"/>
    <s v="Jarabe"/>
    <x v="7"/>
    <n v="140"/>
    <n v="24"/>
    <x v="19"/>
  </r>
  <r>
    <n v="149"/>
    <x v="129"/>
    <n v="536031236"/>
    <s v="Empresa C"/>
    <s v="Machala"/>
    <x v="4"/>
    <x v="0"/>
    <s v="Empresa de embarque B"/>
    <s v="Efectivo"/>
    <s v="Salsa curry"/>
    <x v="5"/>
    <n v="560"/>
    <n v="28"/>
    <x v="140"/>
  </r>
  <r>
    <n v="150"/>
    <x v="21"/>
    <n v="1875435757"/>
    <s v="Empresa J"/>
    <s v="Esmeraldas"/>
    <x v="7"/>
    <x v="6"/>
    <s v="Empresa de embarque B"/>
    <s v="Tarjeta de crédito"/>
    <s v="Almendras"/>
    <x v="1"/>
    <n v="140"/>
    <n v="74"/>
    <x v="141"/>
  </r>
  <r>
    <n v="151"/>
    <x v="130"/>
    <n v="8711973073"/>
    <s v="Empresa J"/>
    <s v="Esmeraldas"/>
    <x v="7"/>
    <x v="6"/>
    <s v="Empresa de embarque A"/>
    <m/>
    <s v="Ciruelas secas"/>
    <x v="1"/>
    <n v="49"/>
    <n v="90"/>
    <x v="142"/>
  </r>
  <r>
    <n v="152"/>
    <x v="126"/>
    <n v="1214228285"/>
    <s v="Empresa K"/>
    <s v="Quito"/>
    <x v="9"/>
    <x v="5"/>
    <s v="Empresa de embarque C"/>
    <m/>
    <s v="Salsa curry"/>
    <x v="5"/>
    <n v="560"/>
    <n v="27"/>
    <x v="143"/>
  </r>
  <r>
    <n v="153"/>
    <x v="131"/>
    <n v="3447948983"/>
    <s v="Empresa A"/>
    <s v="Ambato"/>
    <x v="10"/>
    <x v="2"/>
    <s v="Empresa de embarque C"/>
    <m/>
    <s v="Carne de cangrejo"/>
    <x v="8"/>
    <n v="257.59999999999997"/>
    <n v="71"/>
    <x v="144"/>
  </r>
  <r>
    <n v="154"/>
    <x v="132"/>
    <n v="8753770178"/>
    <s v="Empresa BB"/>
    <s v="Manta"/>
    <x v="6"/>
    <x v="5"/>
    <s v="Empresa de embarque C"/>
    <s v="Tarjeta de crédito"/>
    <s v="Café"/>
    <x v="0"/>
    <n v="644"/>
    <n v="74"/>
    <x v="145"/>
  </r>
  <r>
    <n v="155"/>
    <x v="55"/>
    <n v="493013693"/>
    <s v="Empresa I"/>
    <s v="Guayaquil"/>
    <x v="3"/>
    <x v="7"/>
    <s v="Empresa de embarque A"/>
    <s v="Cheque"/>
    <s v="Almejas"/>
    <x v="4"/>
    <n v="135.1"/>
    <n v="76"/>
    <x v="146"/>
  </r>
  <r>
    <n v="156"/>
    <x v="133"/>
    <n v="4097578178"/>
    <s v="Empresa F"/>
    <s v="Ibarra"/>
    <x v="5"/>
    <x v="4"/>
    <s v="Empresa de embarque B"/>
    <s v="Tarjeta de crédito"/>
    <s v="Chocolate"/>
    <x v="3"/>
    <n v="178.5"/>
    <n v="96"/>
    <x v="147"/>
  </r>
  <r>
    <n v="157"/>
    <x v="134"/>
    <n v="9949307477"/>
    <s v="Empresa H"/>
    <s v="Riobamba"/>
    <x v="2"/>
    <x v="2"/>
    <s v="Empresa de embarque B"/>
    <s v="Cheque"/>
    <s v="Chocolate"/>
    <x v="3"/>
    <n v="178.5"/>
    <n v="92"/>
    <x v="148"/>
  </r>
  <r>
    <n v="158"/>
    <x v="135"/>
    <n v="2521830520"/>
    <s v="Empresa Y"/>
    <s v="Esmeraldas"/>
    <x v="7"/>
    <x v="6"/>
    <s v="Empresa de embarque A"/>
    <s v="Efectivo"/>
    <s v="Condimento cajún"/>
    <x v="7"/>
    <n v="308"/>
    <n v="93"/>
    <x v="149"/>
  </r>
  <r>
    <n v="159"/>
    <x v="34"/>
    <n v="4224616034"/>
    <s v="Empresa Z"/>
    <s v="Quito"/>
    <x v="9"/>
    <x v="5"/>
    <s v="Empresa de embarque C"/>
    <s v="Tarjeta de crédito"/>
    <s v="Jalea de fresa"/>
    <x v="6"/>
    <n v="350"/>
    <n v="18"/>
    <x v="150"/>
  </r>
  <r>
    <n v="160"/>
    <x v="136"/>
    <n v="7169314881"/>
    <s v="Empresa CC"/>
    <s v="Guayaquil"/>
    <x v="3"/>
    <x v="3"/>
    <s v="Empresa de embarque B"/>
    <s v="Cheque"/>
    <s v="Cóctel de frutas"/>
    <x v="12"/>
    <n v="546"/>
    <n v="98"/>
    <x v="151"/>
  </r>
  <r>
    <n v="161"/>
    <x v="134"/>
    <n v="8313545064"/>
    <s v="Empresa F"/>
    <s v="Ibarra"/>
    <x v="5"/>
    <x v="4"/>
    <s v="Empresa de embarque C"/>
    <s v="Cheque"/>
    <s v="Peras secas"/>
    <x v="1"/>
    <n v="420"/>
    <n v="46"/>
    <x v="152"/>
  </r>
  <r>
    <n v="162"/>
    <x v="137"/>
    <n v="5739621013"/>
    <s v="Empresa F"/>
    <s v="Ibarra"/>
    <x v="5"/>
    <x v="4"/>
    <s v="Empresa de embarque C"/>
    <s v="Cheque"/>
    <s v="Manzanas secas"/>
    <x v="1"/>
    <n v="742"/>
    <n v="14"/>
    <x v="49"/>
  </r>
  <r>
    <n v="163"/>
    <x v="138"/>
    <n v="1789830506"/>
    <s v="Empresa D"/>
    <s v="Azogues"/>
    <x v="1"/>
    <x v="1"/>
    <m/>
    <m/>
    <s v="Pasta penne"/>
    <x v="9"/>
    <n v="532"/>
    <n v="85"/>
    <x v="153"/>
  </r>
  <r>
    <n v="164"/>
    <x v="139"/>
    <n v="6281652174"/>
    <s v="Empresa C"/>
    <s v="Machala"/>
    <x v="4"/>
    <x v="0"/>
    <m/>
    <m/>
    <s v="Té verde"/>
    <x v="0"/>
    <n v="41.86"/>
    <n v="88"/>
    <x v="77"/>
  </r>
  <r>
    <n v="165"/>
    <x v="140"/>
    <n v="8126696083"/>
    <s v="Empresa A"/>
    <s v="Ambato"/>
    <x v="10"/>
    <x v="2"/>
    <m/>
    <m/>
    <s v="Té verde"/>
    <x v="0"/>
    <n v="41.86"/>
    <n v="81"/>
    <x v="154"/>
  </r>
  <r>
    <n v="166"/>
    <x v="92"/>
    <n v="2706456269"/>
    <s v="Empresa BB"/>
    <s v="Manta"/>
    <x v="6"/>
    <x v="5"/>
    <s v="Empresa de embarque C"/>
    <s v="Tarjeta de crédito"/>
    <s v="Almejas"/>
    <x v="4"/>
    <n v="135.1"/>
    <n v="33"/>
    <x v="155"/>
  </r>
  <r>
    <n v="167"/>
    <x v="31"/>
    <n v="6159315697"/>
    <s v="Empresa BB"/>
    <s v="Manta"/>
    <x v="6"/>
    <x v="5"/>
    <s v="Empresa de embarque C"/>
    <s v="Tarjeta de crédito"/>
    <s v="Carne de cangrejo"/>
    <x v="8"/>
    <n v="257.59999999999997"/>
    <n v="47"/>
    <x v="156"/>
  </r>
  <r>
    <n v="168"/>
    <x v="141"/>
    <n v="2749029538"/>
    <s v="Empresa I"/>
    <s v="Guayaquil"/>
    <x v="3"/>
    <x v="7"/>
    <s v="Empresa de embarque A"/>
    <s v="Cheque"/>
    <s v="Ravioli"/>
    <x v="9"/>
    <n v="273"/>
    <n v="61"/>
    <x v="157"/>
  </r>
  <r>
    <n v="169"/>
    <x v="39"/>
    <n v="9017454158"/>
    <s v="Empresa I"/>
    <s v="Guayaquil"/>
    <x v="3"/>
    <x v="7"/>
    <s v="Empresa de embarque A"/>
    <s v="Cheque"/>
    <s v="Mozzarella"/>
    <x v="10"/>
    <n v="487.19999999999993"/>
    <n v="27"/>
    <x v="158"/>
  </r>
  <r>
    <n v="170"/>
    <x v="142"/>
    <n v="445300235"/>
    <s v="Empresa F"/>
    <s v="Ibarra"/>
    <x v="5"/>
    <x v="4"/>
    <s v="Empresa de embarque B"/>
    <s v="Tarjeta de crédito"/>
    <s v="Cerveza"/>
    <x v="0"/>
    <n v="196"/>
    <n v="84"/>
    <x v="103"/>
  </r>
  <r>
    <n v="171"/>
    <x v="143"/>
    <n v="3498781571"/>
    <s v="Empresa H"/>
    <s v="Riobamba"/>
    <x v="2"/>
    <x v="2"/>
    <s v="Empresa de embarque B"/>
    <s v="Cheque"/>
    <s v="Salsa curry"/>
    <x v="5"/>
    <n v="560"/>
    <n v="91"/>
    <x v="159"/>
  </r>
  <r>
    <n v="172"/>
    <x v="144"/>
    <n v="376477229"/>
    <s v="Empresa H"/>
    <s v="Riobamba"/>
    <x v="2"/>
    <x v="2"/>
    <s v="Empresa de embarque B"/>
    <s v="Cheque"/>
    <s v="Galletas de chocolate"/>
    <x v="2"/>
    <n v="128.79999999999998"/>
    <n v="36"/>
    <x v="160"/>
  </r>
  <r>
    <n v="173"/>
    <x v="111"/>
    <n v="1790721708"/>
    <s v="Empresa Y"/>
    <s v="Esmeraldas"/>
    <x v="7"/>
    <x v="6"/>
    <s v="Empresa de embarque A"/>
    <s v="Efectivo"/>
    <s v="Bolillos"/>
    <x v="2"/>
    <n v="140"/>
    <n v="34"/>
    <x v="161"/>
  </r>
  <r>
    <n v="174"/>
    <x v="73"/>
    <n v="434033868"/>
    <s v="Empresa Z"/>
    <s v="Quito"/>
    <x v="9"/>
    <x v="5"/>
    <s v="Empresa de embarque C"/>
    <s v="Tarjeta de crédito"/>
    <s v="Aceite de oliva"/>
    <x v="13"/>
    <n v="298.90000000000003"/>
    <n v="81"/>
    <x v="162"/>
  </r>
  <r>
    <n v="175"/>
    <x v="120"/>
    <n v="3247684317"/>
    <s v="Empresa Z"/>
    <s v="Quito"/>
    <x v="9"/>
    <x v="5"/>
    <s v="Empresa de embarque C"/>
    <s v="Tarjeta de crédito"/>
    <s v="Almejas"/>
    <x v="4"/>
    <n v="135.1"/>
    <n v="25"/>
    <x v="163"/>
  </r>
  <r>
    <n v="176"/>
    <x v="145"/>
    <n v="6492121203"/>
    <s v="Empresa Z"/>
    <s v="Quito"/>
    <x v="9"/>
    <x v="5"/>
    <s v="Empresa de embarque C"/>
    <s v="Tarjeta de crédito"/>
    <s v="Carne de cangrejo"/>
    <x v="8"/>
    <n v="257.59999999999997"/>
    <n v="12"/>
    <x v="164"/>
  </r>
  <r>
    <n v="177"/>
    <x v="140"/>
    <n v="1661667624"/>
    <s v="Empresa CC"/>
    <s v="Guayaquil"/>
    <x v="3"/>
    <x v="3"/>
    <s v="Empresa de embarque B"/>
    <s v="Cheque"/>
    <s v="Cerveza"/>
    <x v="0"/>
    <n v="196"/>
    <n v="23"/>
    <x v="165"/>
  </r>
  <r>
    <n v="178"/>
    <x v="146"/>
    <n v="1127190015"/>
    <s v="Empresa F"/>
    <s v="Ibarra"/>
    <x v="5"/>
    <x v="4"/>
    <s v="Empresa de embarque C"/>
    <s v="Cheque"/>
    <s v="Chocolate"/>
    <x v="3"/>
    <n v="178.5"/>
    <n v="76"/>
    <x v="166"/>
  </r>
  <r>
    <n v="179"/>
    <x v="16"/>
    <n v="7862399002"/>
    <s v="Empresa D"/>
    <s v="Azogues"/>
    <x v="1"/>
    <x v="1"/>
    <s v="Empresa de embarque A"/>
    <s v="Tarjeta de crédito"/>
    <s v="Mermelada de zarzamora"/>
    <x v="6"/>
    <n v="1134"/>
    <n v="55"/>
    <x v="167"/>
  </r>
  <r>
    <n v="180"/>
    <x v="131"/>
    <n v="9568142105"/>
    <s v="Empresa D"/>
    <s v="Azogues"/>
    <x v="1"/>
    <x v="1"/>
    <s v="Empresa de embarque A"/>
    <s v="Tarjeta de crédito"/>
    <s v="Arroz de grano largo"/>
    <x v="14"/>
    <n v="98"/>
    <n v="19"/>
    <x v="168"/>
  </r>
  <r>
    <n v="181"/>
    <x v="147"/>
    <n v="1181634254"/>
    <s v="Empresa H"/>
    <s v="Riobamba"/>
    <x v="2"/>
    <x v="2"/>
    <s v="Empresa de embarque C"/>
    <s v="Tarjeta de crédito"/>
    <s v="Mozzarella"/>
    <x v="10"/>
    <n v="487.19999999999993"/>
    <n v="27"/>
    <x v="158"/>
  </r>
  <r>
    <n v="182"/>
    <x v="61"/>
    <n v="5404968765"/>
    <s v="Empresa C"/>
    <s v="Machala"/>
    <x v="4"/>
    <x v="0"/>
    <s v="Empresa de embarque B"/>
    <s v="Efectivo"/>
    <s v="Jarabe"/>
    <x v="7"/>
    <n v="140"/>
    <n v="99"/>
    <x v="83"/>
  </r>
  <r>
    <n v="183"/>
    <x v="148"/>
    <n v="2431996009"/>
    <s v="Empresa C"/>
    <s v="Machala"/>
    <x v="4"/>
    <x v="0"/>
    <s v="Empresa de embarque B"/>
    <s v="Efectivo"/>
    <s v="Salsa curry"/>
    <x v="5"/>
    <n v="560"/>
    <n v="10"/>
    <x v="169"/>
  </r>
  <r>
    <n v="184"/>
    <x v="101"/>
    <n v="6373385557"/>
    <s v="Empresa J"/>
    <s v="Esmeraldas"/>
    <x v="7"/>
    <x v="6"/>
    <s v="Empresa de embarque B"/>
    <s v="Tarjeta de crédito"/>
    <s v="Almendras"/>
    <x v="1"/>
    <n v="140"/>
    <n v="80"/>
    <x v="170"/>
  </r>
  <r>
    <n v="185"/>
    <x v="82"/>
    <n v="5411926783"/>
    <s v="Empresa J"/>
    <s v="Esmeraldas"/>
    <x v="7"/>
    <x v="6"/>
    <s v="Empresa de embarque A"/>
    <m/>
    <s v="Ciruelas secas"/>
    <x v="1"/>
    <n v="49"/>
    <n v="27"/>
    <x v="171"/>
  </r>
  <r>
    <n v="186"/>
    <x v="149"/>
    <n v="8397590471"/>
    <s v="Empresa K"/>
    <s v="Quito"/>
    <x v="9"/>
    <x v="5"/>
    <s v="Empresa de embarque C"/>
    <m/>
    <s v="Salsa curry"/>
    <x v="5"/>
    <n v="560"/>
    <n v="97"/>
    <x v="172"/>
  </r>
  <r>
    <n v="187"/>
    <x v="150"/>
    <n v="5905399576"/>
    <s v="Empresa A"/>
    <s v="Ambato"/>
    <x v="10"/>
    <x v="2"/>
    <s v="Empresa de embarque C"/>
    <m/>
    <s v="Carne de cangrejo"/>
    <x v="8"/>
    <n v="257.59999999999997"/>
    <n v="42"/>
    <x v="173"/>
  </r>
  <r>
    <n v="188"/>
    <x v="93"/>
    <n v="168682758"/>
    <s v="Empresa BB"/>
    <s v="Manta"/>
    <x v="6"/>
    <x v="5"/>
    <s v="Empresa de embarque C"/>
    <s v="Tarjeta de crédito"/>
    <s v="Café"/>
    <x v="0"/>
    <n v="644"/>
    <n v="24"/>
    <x v="174"/>
  </r>
  <r>
    <n v="189"/>
    <x v="151"/>
    <n v="4992553897"/>
    <s v="Empresa I"/>
    <s v="Guayaquil"/>
    <x v="3"/>
    <x v="7"/>
    <s v="Empresa de embarque A"/>
    <s v="Cheque"/>
    <s v="Almejas"/>
    <x v="4"/>
    <n v="135.1"/>
    <n v="90"/>
    <x v="175"/>
  </r>
  <r>
    <n v="190"/>
    <x v="92"/>
    <n v="9609810399"/>
    <s v="Empresa F"/>
    <s v="Ibarra"/>
    <x v="5"/>
    <x v="4"/>
    <s v="Empresa de embarque B"/>
    <s v="Tarjeta de crédito"/>
    <s v="Chocolate"/>
    <x v="3"/>
    <n v="178.5"/>
    <n v="28"/>
    <x v="176"/>
  </r>
  <r>
    <n v="191"/>
    <x v="10"/>
    <n v="1537469039"/>
    <s v="Empresa BB"/>
    <s v="Manta"/>
    <x v="6"/>
    <x v="5"/>
    <s v="Empresa de embarque C"/>
    <s v="Cheque"/>
    <s v="Café"/>
    <x v="0"/>
    <n v="644"/>
    <n v="28"/>
    <x v="177"/>
  </r>
  <r>
    <n v="192"/>
    <x v="136"/>
    <n v="2018401595"/>
    <s v="Empresa H"/>
    <s v="Riobamba"/>
    <x v="2"/>
    <x v="2"/>
    <s v="Empresa de embarque C"/>
    <s v="Cheque"/>
    <s v="Chocolate"/>
    <x v="3"/>
    <n v="178.5"/>
    <n v="57"/>
    <x v="178"/>
  </r>
  <r>
    <n v="193"/>
    <x v="152"/>
    <n v="1129934476"/>
    <s v="Empresa J"/>
    <s v="Esmeraldas"/>
    <x v="7"/>
    <x v="6"/>
    <s v="Empresa de embarque B"/>
    <s v="Tarjeta de crédito"/>
    <s v="Té verde"/>
    <x v="0"/>
    <n v="41.86"/>
    <n v="23"/>
    <x v="179"/>
  </r>
  <r>
    <n v="194"/>
    <x v="115"/>
    <n v="878400496"/>
    <s v="Empresa G"/>
    <s v="Guaranda"/>
    <x v="8"/>
    <x v="2"/>
    <m/>
    <m/>
    <s v="Café"/>
    <x v="0"/>
    <n v="644"/>
    <n v="86"/>
    <x v="180"/>
  </r>
  <r>
    <n v="195"/>
    <x v="153"/>
    <n v="6271764467"/>
    <s v="Empresa J"/>
    <s v="Esmeraldas"/>
    <x v="7"/>
    <x v="6"/>
    <s v="Empresa de embarque A"/>
    <m/>
    <s v="Jalea de fresa"/>
    <x v="6"/>
    <n v="350"/>
    <n v="47"/>
    <x v="181"/>
  </r>
  <r>
    <n v="196"/>
    <x v="154"/>
    <n v="5954546839"/>
    <s v="Empresa J"/>
    <s v="Esmeraldas"/>
    <x v="7"/>
    <x v="6"/>
    <s v="Empresa de embarque A"/>
    <m/>
    <s v="Condimento cajún"/>
    <x v="7"/>
    <n v="308"/>
    <n v="97"/>
    <x v="182"/>
  </r>
  <r>
    <n v="197"/>
    <x v="155"/>
    <n v="1007419194"/>
    <s v="Empresa J"/>
    <s v="Esmeraldas"/>
    <x v="7"/>
    <x v="6"/>
    <s v="Empresa de embarque A"/>
    <m/>
    <s v="Galletas de chocolate"/>
    <x v="2"/>
    <n v="128.79999999999998"/>
    <n v="96"/>
    <x v="183"/>
  </r>
  <r>
    <n v="198"/>
    <x v="81"/>
    <n v="2749506386"/>
    <s v="Empresa K"/>
    <s v="Quito"/>
    <x v="9"/>
    <x v="5"/>
    <s v="Empresa de embarque C"/>
    <m/>
    <s v="Ciruelas secas"/>
    <x v="1"/>
    <n v="49"/>
    <n v="31"/>
    <x v="184"/>
  </r>
  <r>
    <n v="199"/>
    <x v="156"/>
    <n v="3279160134"/>
    <s v="Empresa K"/>
    <s v="Quito"/>
    <x v="9"/>
    <x v="5"/>
    <s v="Empresa de embarque C"/>
    <m/>
    <s v="Té verde"/>
    <x v="0"/>
    <n v="41.86"/>
    <n v="52"/>
    <x v="185"/>
  </r>
  <r>
    <n v="200"/>
    <x v="80"/>
    <n v="6789089883"/>
    <s v="Empresa A"/>
    <s v="Ambato"/>
    <x v="10"/>
    <x v="2"/>
    <m/>
    <m/>
    <s v="Té chai"/>
    <x v="0"/>
    <n v="252"/>
    <n v="91"/>
    <x v="186"/>
  </r>
  <r>
    <n v="201"/>
    <x v="157"/>
    <n v="7775981065"/>
    <s v="Empresa A"/>
    <s v="Ambato"/>
    <x v="10"/>
    <x v="2"/>
    <m/>
    <m/>
    <s v="Café"/>
    <x v="0"/>
    <n v="644"/>
    <n v="14"/>
    <x v="187"/>
  </r>
  <r>
    <n v="202"/>
    <x v="83"/>
    <n v="5357417804"/>
    <s v="Empresa A"/>
    <s v="Ambato"/>
    <x v="10"/>
    <x v="2"/>
    <m/>
    <m/>
    <s v="Té verde"/>
    <x v="0"/>
    <n v="41.86"/>
    <n v="44"/>
    <x v="188"/>
  </r>
  <r>
    <n v="203"/>
    <x v="158"/>
    <n v="4986720222"/>
    <s v="Empresa BB"/>
    <s v="Manta"/>
    <x v="6"/>
    <x v="5"/>
    <s v="Empresa de embarque C"/>
    <s v="Tarjeta de crédito"/>
    <s v="Almejas"/>
    <x v="4"/>
    <n v="135.1"/>
    <n v="97"/>
    <x v="54"/>
  </r>
  <r>
    <n v="204"/>
    <x v="159"/>
    <n v="9264353300"/>
    <s v="Empresa BB"/>
    <s v="Manta"/>
    <x v="6"/>
    <x v="5"/>
    <s v="Empresa de embarque C"/>
    <s v="Tarjeta de crédito"/>
    <s v="Carne de cangrejo"/>
    <x v="8"/>
    <n v="257.59999999999997"/>
    <n v="80"/>
    <x v="189"/>
  </r>
  <r>
    <n v="205"/>
    <x v="160"/>
    <n v="4507840734"/>
    <s v="Empresa I"/>
    <s v="Guayaquil"/>
    <x v="3"/>
    <x v="7"/>
    <s v="Empresa de embarque A"/>
    <s v="Cheque"/>
    <s v="Ravioli"/>
    <x v="9"/>
    <n v="273"/>
    <n v="66"/>
    <x v="190"/>
  </r>
  <r>
    <n v="206"/>
    <x v="161"/>
    <n v="1926814553"/>
    <s v="Empresa I"/>
    <s v="Guayaquil"/>
    <x v="3"/>
    <x v="7"/>
    <s v="Empresa de embarque A"/>
    <s v="Cheque"/>
    <s v="Mozzarella"/>
    <x v="10"/>
    <n v="487.19999999999993"/>
    <n v="32"/>
    <x v="191"/>
  </r>
  <r>
    <n v="207"/>
    <x v="162"/>
    <n v="1115906573"/>
    <s v="Empresa F"/>
    <s v="Ibarra"/>
    <x v="5"/>
    <x v="4"/>
    <s v="Empresa de embarque B"/>
    <s v="Tarjeta de crédito"/>
    <s v="Cerveza"/>
    <x v="0"/>
    <n v="196"/>
    <n v="52"/>
    <x v="192"/>
  </r>
  <r>
    <n v="208"/>
    <x v="155"/>
    <n v="4298972271"/>
    <s v="Empresa H"/>
    <s v="Riobamba"/>
    <x v="2"/>
    <x v="2"/>
    <s v="Empresa de embarque B"/>
    <s v="Cheque"/>
    <s v="Salsa curry"/>
    <x v="5"/>
    <n v="560"/>
    <n v="78"/>
    <x v="193"/>
  </r>
  <r>
    <n v="209"/>
    <x v="163"/>
    <n v="1419202858"/>
    <s v="Empresa H"/>
    <s v="Riobamba"/>
    <x v="2"/>
    <x v="2"/>
    <s v="Empresa de embarque B"/>
    <s v="Cheque"/>
    <s v="Galletas de chocolate"/>
    <x v="2"/>
    <n v="128.79999999999998"/>
    <n v="54"/>
    <x v="194"/>
  </r>
  <r>
    <n v="210"/>
    <x v="52"/>
    <n v="3516608759"/>
    <s v="Empresa Y"/>
    <s v="Esmeraldas"/>
    <x v="7"/>
    <x v="6"/>
    <s v="Empresa de embarque A"/>
    <s v="Efectivo"/>
    <s v="Bolillos"/>
    <x v="2"/>
    <n v="140"/>
    <n v="55"/>
    <x v="63"/>
  </r>
  <r>
    <n v="211"/>
    <x v="164"/>
    <n v="8191358442"/>
    <s v="Empresa Z"/>
    <s v="Quito"/>
    <x v="9"/>
    <x v="5"/>
    <s v="Empresa de embarque C"/>
    <s v="Tarjeta de crédito"/>
    <s v="Aceite de oliva"/>
    <x v="13"/>
    <n v="298.90000000000003"/>
    <n v="60"/>
    <x v="195"/>
  </r>
  <r>
    <n v="212"/>
    <x v="165"/>
    <n v="8451227157"/>
    <s v="Empresa Z"/>
    <s v="Quito"/>
    <x v="9"/>
    <x v="5"/>
    <s v="Empresa de embarque C"/>
    <s v="Tarjeta de crédito"/>
    <s v="Almejas"/>
    <x v="4"/>
    <n v="135.1"/>
    <n v="19"/>
    <x v="196"/>
  </r>
  <r>
    <n v="213"/>
    <x v="166"/>
    <n v="9847155245"/>
    <s v="Empresa Z"/>
    <s v="Quito"/>
    <x v="9"/>
    <x v="5"/>
    <s v="Empresa de embarque C"/>
    <s v="Tarjeta de crédito"/>
    <s v="Carne de cangrejo"/>
    <x v="8"/>
    <n v="257.59999999999997"/>
    <n v="66"/>
    <x v="197"/>
  </r>
  <r>
    <n v="214"/>
    <x v="167"/>
    <n v="5189485028"/>
    <s v="Empresa CC"/>
    <s v="Guayaquil"/>
    <x v="3"/>
    <x v="3"/>
    <s v="Empresa de embarque B"/>
    <s v="Cheque"/>
    <s v="Cerveza"/>
    <x v="0"/>
    <n v="196"/>
    <n v="42"/>
    <x v="198"/>
  </r>
  <r>
    <n v="215"/>
    <x v="13"/>
    <n v="2367569858"/>
    <s v="Empresa F"/>
    <s v="Ibarra"/>
    <x v="5"/>
    <x v="4"/>
    <s v="Empresa de embarque C"/>
    <s v="Cheque"/>
    <s v="Chocolate"/>
    <x v="3"/>
    <n v="178.5"/>
    <n v="72"/>
    <x v="199"/>
  </r>
  <r>
    <n v="216"/>
    <x v="168"/>
    <n v="1241520334"/>
    <s v="Empresa D"/>
    <s v="Azogues"/>
    <x v="1"/>
    <x v="1"/>
    <s v="Empresa de embarque A"/>
    <s v="Tarjeta de crédito"/>
    <s v="Mermelada de zarzamora"/>
    <x v="6"/>
    <n v="1134"/>
    <n v="32"/>
    <x v="200"/>
  </r>
  <r>
    <n v="217"/>
    <x v="169"/>
    <n v="6999895697"/>
    <s v="Empresa D"/>
    <s v="Azogues"/>
    <x v="1"/>
    <x v="1"/>
    <s v="Empresa de embarque A"/>
    <s v="Tarjeta de crédito"/>
    <s v="Arroz de grano largo"/>
    <x v="14"/>
    <n v="98"/>
    <n v="76"/>
    <x v="201"/>
  </r>
  <r>
    <n v="218"/>
    <x v="141"/>
    <n v="2931440223"/>
    <s v="Empresa J"/>
    <s v="Esmeraldas"/>
    <x v="7"/>
    <x v="6"/>
    <s v="Empresa de embarque A"/>
    <m/>
    <s v="Galletas de chocolate"/>
    <x v="2"/>
    <n v="128.79999999999998"/>
    <n v="83"/>
    <x v="202"/>
  </r>
  <r>
    <n v="219"/>
    <x v="25"/>
    <n v="6045555436"/>
    <s v="Empresa K"/>
    <s v="Quito"/>
    <x v="9"/>
    <x v="5"/>
    <s v="Empresa de embarque C"/>
    <m/>
    <s v="Ciruelas secas"/>
    <x v="1"/>
    <n v="49"/>
    <n v="91"/>
    <x v="203"/>
  </r>
  <r>
    <n v="220"/>
    <x v="57"/>
    <n v="4985084204"/>
    <s v="Empresa K"/>
    <s v="Quito"/>
    <x v="9"/>
    <x v="5"/>
    <s v="Empresa de embarque C"/>
    <m/>
    <s v="Té verde"/>
    <x v="0"/>
    <n v="41.86"/>
    <n v="64"/>
    <x v="204"/>
  </r>
  <r>
    <n v="221"/>
    <x v="99"/>
    <n v="8950774476"/>
    <s v="Empresa A"/>
    <s v="Ambato"/>
    <x v="10"/>
    <x v="2"/>
    <m/>
    <m/>
    <s v="Té chai"/>
    <x v="0"/>
    <n v="252"/>
    <n v="58"/>
    <x v="205"/>
  </r>
  <r>
    <n v="222"/>
    <x v="170"/>
    <n v="4091794218"/>
    <s v="Empresa A"/>
    <s v="Ambato"/>
    <x v="10"/>
    <x v="2"/>
    <m/>
    <m/>
    <s v="Café"/>
    <x v="0"/>
    <n v="644"/>
    <n v="97"/>
    <x v="206"/>
  </r>
  <r>
    <n v="223"/>
    <x v="153"/>
    <n v="2789876793"/>
    <s v="Empresa A"/>
    <s v="Ambato"/>
    <x v="10"/>
    <x v="2"/>
    <m/>
    <m/>
    <s v="Té verde"/>
    <x v="0"/>
    <n v="41.86"/>
    <n v="14"/>
    <x v="207"/>
  </r>
  <r>
    <n v="224"/>
    <x v="171"/>
    <n v="4338385582"/>
    <s v="Empresa BB"/>
    <s v="Manta"/>
    <x v="6"/>
    <x v="5"/>
    <s v="Empresa de embarque C"/>
    <s v="Tarjeta de crédito"/>
    <s v="Almejas"/>
    <x v="4"/>
    <n v="135.1"/>
    <n v="68"/>
    <x v="208"/>
  </r>
  <r>
    <n v="225"/>
    <x v="144"/>
    <n v="9159410824"/>
    <s v="Empresa BB"/>
    <s v="Manta"/>
    <x v="6"/>
    <x v="5"/>
    <s v="Empresa de embarque C"/>
    <s v="Tarjeta de crédito"/>
    <s v="Carne de cangrejo"/>
    <x v="8"/>
    <n v="257.59999999999997"/>
    <n v="32"/>
    <x v="209"/>
  </r>
  <r>
    <n v="226"/>
    <x v="172"/>
    <n v="6562657766"/>
    <s v="Empresa I"/>
    <s v="Guayaquil"/>
    <x v="3"/>
    <x v="7"/>
    <s v="Empresa de embarque A"/>
    <s v="Cheque"/>
    <s v="Ravioli"/>
    <x v="9"/>
    <n v="273"/>
    <n v="48"/>
    <x v="210"/>
  </r>
  <r>
    <n v="227"/>
    <x v="173"/>
    <n v="4160634865"/>
    <s v="Empresa I"/>
    <s v="Guayaquil"/>
    <x v="3"/>
    <x v="7"/>
    <s v="Empresa de embarque A"/>
    <s v="Cheque"/>
    <s v="Mozzarella"/>
    <x v="10"/>
    <n v="487.19999999999993"/>
    <n v="57"/>
    <x v="211"/>
  </r>
  <r>
    <n v="228"/>
    <x v="147"/>
    <n v="142416687"/>
    <s v="Empresa F"/>
    <s v="Ibarra"/>
    <x v="5"/>
    <x v="4"/>
    <s v="Empresa de embarque B"/>
    <s v="Tarjeta de crédito"/>
    <s v="Cerveza"/>
    <x v="0"/>
    <n v="196"/>
    <n v="67"/>
    <x v="212"/>
  </r>
  <r>
    <n v="229"/>
    <x v="108"/>
    <n v="6114991349"/>
    <s v="Empresa H"/>
    <s v="Riobamba"/>
    <x v="2"/>
    <x v="2"/>
    <s v="Empresa de embarque B"/>
    <s v="Cheque"/>
    <s v="Salsa curry"/>
    <x v="5"/>
    <n v="560"/>
    <n v="48"/>
    <x v="213"/>
  </r>
  <r>
    <n v="230"/>
    <x v="174"/>
    <n v="6472352060"/>
    <s v="Empresa H"/>
    <s v="Riobamba"/>
    <x v="2"/>
    <x v="2"/>
    <s v="Empresa de embarque B"/>
    <s v="Cheque"/>
    <s v="Galletas de chocolate"/>
    <x v="2"/>
    <n v="128.79999999999998"/>
    <n v="77"/>
    <x v="214"/>
  </r>
  <r>
    <n v="231"/>
    <x v="138"/>
    <n v="5399077795"/>
    <s v="Empresa Y"/>
    <s v="Esmeraldas"/>
    <x v="7"/>
    <x v="6"/>
    <s v="Empresa de embarque A"/>
    <s v="Efectivo"/>
    <s v="Bolillos"/>
    <x v="2"/>
    <n v="140"/>
    <n v="94"/>
    <x v="215"/>
  </r>
  <r>
    <n v="232"/>
    <x v="175"/>
    <n v="6275645168"/>
    <s v="Empresa Z"/>
    <s v="Quito"/>
    <x v="9"/>
    <x v="5"/>
    <s v="Empresa de embarque C"/>
    <s v="Tarjeta de crédito"/>
    <s v="Aceite de oliva"/>
    <x v="13"/>
    <n v="298.90000000000003"/>
    <n v="54"/>
    <x v="216"/>
  </r>
  <r>
    <n v="233"/>
    <x v="51"/>
    <n v="597069969"/>
    <s v="Empresa Z"/>
    <s v="Quito"/>
    <x v="9"/>
    <x v="5"/>
    <s v="Empresa de embarque C"/>
    <s v="Tarjeta de crédito"/>
    <s v="Almejas"/>
    <x v="4"/>
    <n v="135.1"/>
    <n v="43"/>
    <x v="85"/>
  </r>
  <r>
    <n v="234"/>
    <x v="58"/>
    <n v="1323169656"/>
    <s v="Empresa Z"/>
    <s v="Quito"/>
    <x v="9"/>
    <x v="5"/>
    <s v="Empresa de embarque C"/>
    <s v="Tarjeta de crédito"/>
    <s v="Carne de cangrejo"/>
    <x v="8"/>
    <n v="257.59999999999997"/>
    <n v="71"/>
    <x v="144"/>
  </r>
  <r>
    <n v="235"/>
    <x v="176"/>
    <n v="2932971142"/>
    <s v="Empresa CC"/>
    <s v="Guayaquil"/>
    <x v="3"/>
    <x v="3"/>
    <s v="Empresa de embarque B"/>
    <s v="Cheque"/>
    <s v="Cerveza"/>
    <x v="0"/>
    <n v="196"/>
    <n v="50"/>
    <x v="217"/>
  </r>
  <r>
    <n v="236"/>
    <x v="177"/>
    <n v="3634141900"/>
    <s v="Empresa F"/>
    <s v="Ibarra"/>
    <x v="5"/>
    <x v="4"/>
    <s v="Empresa de embarque C"/>
    <s v="Cheque"/>
    <s v="Chocolate"/>
    <x v="3"/>
    <n v="178.5"/>
    <n v="96"/>
    <x v="147"/>
  </r>
  <r>
    <n v="237"/>
    <x v="161"/>
    <n v="8872627168"/>
    <s v="Empresa D"/>
    <s v="Azogues"/>
    <x v="1"/>
    <x v="1"/>
    <s v="Empresa de embarque A"/>
    <s v="Tarjeta de crédito"/>
    <s v="Mermelada de zarzamora"/>
    <x v="6"/>
    <n v="1134"/>
    <n v="54"/>
    <x v="218"/>
  </r>
  <r>
    <n v="238"/>
    <x v="178"/>
    <n v="5571010485"/>
    <s v="Empresa D"/>
    <s v="Azogues"/>
    <x v="1"/>
    <x v="1"/>
    <s v="Empresa de embarque A"/>
    <s v="Tarjeta de crédito"/>
    <s v="Arroz de grano largo"/>
    <x v="14"/>
    <n v="98"/>
    <n v="39"/>
    <x v="219"/>
  </r>
  <r>
    <n v="239"/>
    <x v="66"/>
    <n v="7703467924"/>
    <s v="Empresa H"/>
    <s v="Riobamba"/>
    <x v="2"/>
    <x v="2"/>
    <s v="Empresa de embarque C"/>
    <s v="Tarjeta de crédito"/>
    <s v="Mozzarella"/>
    <x v="10"/>
    <n v="487.19999999999993"/>
    <n v="63"/>
    <x v="60"/>
  </r>
  <r>
    <n v="240"/>
    <x v="143"/>
    <n v="7747820326"/>
    <s v="Empresa C"/>
    <s v="Machala"/>
    <x v="4"/>
    <x v="0"/>
    <s v="Empresa de embarque B"/>
    <s v="Efectivo"/>
    <s v="Jarabe"/>
    <x v="7"/>
    <n v="140"/>
    <n v="71"/>
    <x v="220"/>
  </r>
  <r>
    <n v="241"/>
    <x v="179"/>
    <n v="5769101754"/>
    <s v="Empresa C"/>
    <s v="Machala"/>
    <x v="4"/>
    <x v="0"/>
    <s v="Empresa de embarque B"/>
    <s v="Efectivo"/>
    <s v="Salsa curry"/>
    <x v="5"/>
    <n v="560"/>
    <n v="88"/>
    <x v="221"/>
  </r>
  <r>
    <n v="242"/>
    <x v="81"/>
    <n v="7427615835"/>
    <s v="Empresa J"/>
    <s v="Esmeraldas"/>
    <x v="7"/>
    <x v="6"/>
    <s v="Empresa de embarque B"/>
    <s v="Tarjeta de crédito"/>
    <s v="Almendras"/>
    <x v="1"/>
    <n v="140"/>
    <n v="59"/>
    <x v="222"/>
  </r>
  <r>
    <n v="243"/>
    <x v="180"/>
    <n v="242336558"/>
    <s v="Empresa F"/>
    <s v="Ibarra"/>
    <x v="5"/>
    <x v="4"/>
    <s v="Empresa de embarque B"/>
    <s v="Tarjeta de crédito"/>
    <s v="Salsa curry"/>
    <x v="5"/>
    <n v="560"/>
    <n v="94"/>
    <x v="223"/>
  </r>
  <r>
    <n v="244"/>
    <x v="139"/>
    <n v="2520819737"/>
    <s v="Empresa BB"/>
    <s v="Manta"/>
    <x v="6"/>
    <x v="5"/>
    <s v="Empresa de embarque C"/>
    <s v="Cheque"/>
    <s v="Café"/>
    <x v="0"/>
    <n v="644"/>
    <n v="86"/>
    <x v="180"/>
  </r>
  <r>
    <n v="245"/>
    <x v="181"/>
    <n v="8828389188"/>
    <s v="Empresa H"/>
    <s v="Riobamba"/>
    <x v="2"/>
    <x v="2"/>
    <s v="Empresa de embarque C"/>
    <s v="Cheque"/>
    <s v="Chocolate"/>
    <x v="3"/>
    <n v="178.5"/>
    <n v="61"/>
    <x v="224"/>
  </r>
  <r>
    <n v="246"/>
    <x v="182"/>
    <n v="164422904"/>
    <s v="Empresa J"/>
    <s v="Esmeraldas"/>
    <x v="7"/>
    <x v="6"/>
    <s v="Empresa de embarque B"/>
    <s v="Tarjeta de crédito"/>
    <s v="Té verde"/>
    <x v="0"/>
    <n v="41.86"/>
    <n v="32"/>
    <x v="225"/>
  </r>
  <r>
    <n v="247"/>
    <x v="32"/>
    <n v="7991995786"/>
    <s v="Empresa G"/>
    <s v="Guaranda"/>
    <x v="8"/>
    <x v="2"/>
    <m/>
    <m/>
    <s v="Café"/>
    <x v="0"/>
    <n v="644"/>
    <n v="62"/>
    <x v="226"/>
  </r>
  <r>
    <n v="248"/>
    <x v="183"/>
    <n v="4149364306"/>
    <s v="Empresa J"/>
    <s v="Esmeraldas"/>
    <x v="7"/>
    <x v="6"/>
    <s v="Empresa de embarque A"/>
    <m/>
    <s v="Jalea de fresa"/>
    <x v="6"/>
    <n v="350"/>
    <n v="60"/>
    <x v="227"/>
  </r>
  <r>
    <n v="249"/>
    <x v="97"/>
    <n v="6397472642"/>
    <s v="Empresa J"/>
    <s v="Esmeraldas"/>
    <x v="7"/>
    <x v="6"/>
    <s v="Empresa de embarque A"/>
    <m/>
    <s v="Condimento cajún"/>
    <x v="7"/>
    <n v="308"/>
    <n v="51"/>
    <x v="228"/>
  </r>
  <r>
    <n v="250"/>
    <x v="73"/>
    <n v="1168651383"/>
    <s v="Empresa J"/>
    <s v="Esmeraldas"/>
    <x v="7"/>
    <x v="6"/>
    <s v="Empresa de embarque A"/>
    <m/>
    <s v="Galletas de chocolate"/>
    <x v="2"/>
    <n v="128.79999999999998"/>
    <n v="49"/>
    <x v="229"/>
  </r>
  <r>
    <n v="251"/>
    <x v="184"/>
    <n v="1309311215"/>
    <s v="Empresa K"/>
    <s v="Quito"/>
    <x v="9"/>
    <x v="5"/>
    <s v="Empresa de embarque C"/>
    <m/>
    <s v="Ciruelas secas"/>
    <x v="1"/>
    <n v="49"/>
    <n v="20"/>
    <x v="230"/>
  </r>
  <r>
    <n v="252"/>
    <x v="185"/>
    <n v="4552083877"/>
    <s v="Empresa K"/>
    <s v="Quito"/>
    <x v="9"/>
    <x v="5"/>
    <s v="Empresa de embarque C"/>
    <m/>
    <s v="Té verde"/>
    <x v="0"/>
    <n v="41.86"/>
    <n v="49"/>
    <x v="231"/>
  </r>
  <r>
    <n v="253"/>
    <x v="186"/>
    <n v="6119453494"/>
    <s v="Empresa A"/>
    <s v="Ambato"/>
    <x v="10"/>
    <x v="2"/>
    <m/>
    <m/>
    <s v="Té chai"/>
    <x v="0"/>
    <n v="252"/>
    <n v="22"/>
    <x v="232"/>
  </r>
  <r>
    <n v="254"/>
    <x v="55"/>
    <n v="8815781249"/>
    <s v="Empresa A"/>
    <s v="Ambato"/>
    <x v="10"/>
    <x v="2"/>
    <m/>
    <m/>
    <s v="Café"/>
    <x v="0"/>
    <n v="644"/>
    <n v="73"/>
    <x v="233"/>
  </r>
  <r>
    <n v="255"/>
    <x v="180"/>
    <n v="5308869510"/>
    <s v="Empresa A"/>
    <s v="Ambato"/>
    <x v="10"/>
    <x v="2"/>
    <m/>
    <m/>
    <s v="Té verde"/>
    <x v="0"/>
    <n v="41.86"/>
    <n v="85"/>
    <x v="234"/>
  </r>
  <r>
    <n v="256"/>
    <x v="187"/>
    <n v="9623390930"/>
    <s v="Empresa BB"/>
    <s v="Manta"/>
    <x v="6"/>
    <x v="5"/>
    <s v="Empresa de embarque C"/>
    <s v="Tarjeta de crédito"/>
    <s v="Almejas"/>
    <x v="4"/>
    <n v="135.1"/>
    <n v="44"/>
    <x v="235"/>
  </r>
  <r>
    <n v="257"/>
    <x v="179"/>
    <n v="9925453816"/>
    <s v="Empresa BB"/>
    <s v="Manta"/>
    <x v="6"/>
    <x v="5"/>
    <s v="Empresa de embarque C"/>
    <s v="Tarjeta de crédito"/>
    <s v="Carne de cangrejo"/>
    <x v="8"/>
    <n v="257.59999999999997"/>
    <n v="24"/>
    <x v="236"/>
  </r>
  <r>
    <n v="258"/>
    <x v="172"/>
    <n v="6948053333"/>
    <s v="Empresa I"/>
    <s v="Guayaquil"/>
    <x v="3"/>
    <x v="7"/>
    <s v="Empresa de embarque A"/>
    <s v="Cheque"/>
    <s v="Ravioli"/>
    <x v="9"/>
    <n v="273"/>
    <n v="64"/>
    <x v="237"/>
  </r>
  <r>
    <n v="259"/>
    <x v="150"/>
    <n v="2060963898"/>
    <s v="Empresa I"/>
    <s v="Guayaquil"/>
    <x v="3"/>
    <x v="7"/>
    <s v="Empresa de embarque A"/>
    <s v="Cheque"/>
    <s v="Mozzarella"/>
    <x v="10"/>
    <n v="487.19999999999993"/>
    <n v="70"/>
    <x v="238"/>
  </r>
  <r>
    <n v="260"/>
    <x v="176"/>
    <n v="2582781913"/>
    <s v="Empresa F"/>
    <s v="Ibarra"/>
    <x v="5"/>
    <x v="4"/>
    <s v="Empresa de embarque B"/>
    <s v="Tarjeta de crédito"/>
    <s v="Cerveza"/>
    <x v="0"/>
    <n v="196"/>
    <n v="98"/>
    <x v="239"/>
  </r>
  <r>
    <n v="261"/>
    <x v="26"/>
    <n v="2732649952"/>
    <s v="Empresa H"/>
    <s v="Riobamba"/>
    <x v="2"/>
    <x v="2"/>
    <s v="Empresa de embarque B"/>
    <s v="Cheque"/>
    <s v="Salsa curry"/>
    <x v="5"/>
    <n v="560"/>
    <n v="48"/>
    <x v="213"/>
  </r>
  <r>
    <n v="262"/>
    <x v="142"/>
    <n v="4179453952"/>
    <s v="Empresa H"/>
    <s v="Riobamba"/>
    <x v="2"/>
    <x v="2"/>
    <s v="Empresa de embarque B"/>
    <s v="Cheque"/>
    <s v="Galletas de chocolate"/>
    <x v="2"/>
    <n v="128.79999999999998"/>
    <n v="100"/>
    <x v="240"/>
  </r>
  <r>
    <n v="263"/>
    <x v="188"/>
    <n v="4339665341"/>
    <s v="Empresa Y"/>
    <s v="Esmeraldas"/>
    <x v="7"/>
    <x v="6"/>
    <s v="Empresa de embarque A"/>
    <s v="Efectivo"/>
    <s v="Bolillos"/>
    <x v="2"/>
    <n v="140"/>
    <n v="90"/>
    <x v="241"/>
  </r>
  <r>
    <n v="264"/>
    <x v="189"/>
    <n v="9193900326"/>
    <s v="Empresa Z"/>
    <s v="Quito"/>
    <x v="9"/>
    <x v="5"/>
    <s v="Empresa de embarque C"/>
    <s v="Tarjeta de crédito"/>
    <s v="Aceite de oliva"/>
    <x v="13"/>
    <n v="298.90000000000003"/>
    <n v="49"/>
    <x v="242"/>
  </r>
  <r>
    <n v="265"/>
    <x v="96"/>
    <n v="7474169055"/>
    <s v="Empresa Z"/>
    <s v="Quito"/>
    <x v="9"/>
    <x v="5"/>
    <s v="Empresa de embarque C"/>
    <s v="Tarjeta de crédito"/>
    <s v="Almejas"/>
    <x v="4"/>
    <n v="135.1"/>
    <n v="71"/>
    <x v="243"/>
  </r>
  <r>
    <n v="266"/>
    <x v="59"/>
    <n v="9750138179"/>
    <s v="Empresa Z"/>
    <s v="Quito"/>
    <x v="9"/>
    <x v="5"/>
    <s v="Empresa de embarque C"/>
    <s v="Tarjeta de crédito"/>
    <s v="Carne de cangrejo"/>
    <x v="8"/>
    <n v="257.59999999999997"/>
    <n v="10"/>
    <x v="244"/>
  </r>
  <r>
    <n v="267"/>
    <x v="190"/>
    <n v="2294414293"/>
    <s v="Empresa CC"/>
    <s v="Guayaquil"/>
    <x v="3"/>
    <x v="3"/>
    <s v="Empresa de embarque B"/>
    <s v="Cheque"/>
    <s v="Cerveza"/>
    <x v="0"/>
    <n v="196"/>
    <n v="78"/>
    <x v="245"/>
  </r>
  <r>
    <n v="268"/>
    <x v="191"/>
    <n v="776426288"/>
    <s v="Empresa F"/>
    <s v="Ibarra"/>
    <x v="5"/>
    <x v="4"/>
    <s v="Empresa de embarque C"/>
    <s v="Cheque"/>
    <s v="Chocolate"/>
    <x v="3"/>
    <n v="178.5"/>
    <n v="44"/>
    <x v="136"/>
  </r>
  <r>
    <n v="269"/>
    <x v="158"/>
    <n v="1245231958"/>
    <s v="Empresa D"/>
    <s v="Azogues"/>
    <x v="1"/>
    <x v="1"/>
    <s v="Empresa de embarque A"/>
    <s v="Tarjeta de crédito"/>
    <s v="Mermelada de zarzamora"/>
    <x v="6"/>
    <n v="1134"/>
    <n v="82"/>
    <x v="246"/>
  </r>
  <r>
    <n v="270"/>
    <x v="192"/>
    <n v="2050724971"/>
    <s v="Empresa D"/>
    <s v="Azogues"/>
    <x v="1"/>
    <x v="1"/>
    <s v="Empresa de embarque A"/>
    <s v="Tarjeta de crédito"/>
    <s v="Arroz de grano largo"/>
    <x v="14"/>
    <n v="98"/>
    <n v="29"/>
    <x v="247"/>
  </r>
  <r>
    <n v="271"/>
    <x v="193"/>
    <n v="9478104719"/>
    <s v="Empresa H"/>
    <s v="Riobamba"/>
    <x v="2"/>
    <x v="2"/>
    <s v="Empresa de embarque C"/>
    <s v="Tarjeta de crédito"/>
    <s v="Mozzarella"/>
    <x v="10"/>
    <n v="487.19999999999993"/>
    <n v="93"/>
    <x v="248"/>
  </r>
  <r>
    <n v="272"/>
    <x v="160"/>
    <n v="7620759943"/>
    <s v="Empresa C"/>
    <s v="Machala"/>
    <x v="4"/>
    <x v="0"/>
    <s v="Empresa de embarque B"/>
    <s v="Efectivo"/>
    <s v="Jarabe"/>
    <x v="7"/>
    <n v="140"/>
    <n v="11"/>
    <x v="249"/>
  </r>
  <r>
    <n v="273"/>
    <x v="194"/>
    <n v="9345003575"/>
    <s v="Empresa C"/>
    <s v="Machala"/>
    <x v="4"/>
    <x v="0"/>
    <s v="Empresa de embarque B"/>
    <s v="Efectivo"/>
    <s v="Salsa curry"/>
    <x v="5"/>
    <n v="560"/>
    <n v="91"/>
    <x v="159"/>
  </r>
  <r>
    <n v="274"/>
    <x v="47"/>
    <n v="5988072690"/>
    <s v="Empresa J"/>
    <s v="Esmeraldas"/>
    <x v="7"/>
    <x v="6"/>
    <s v="Empresa de embarque B"/>
    <s v="Tarjeta de crédito"/>
    <s v="Almendras"/>
    <x v="1"/>
    <n v="140"/>
    <n v="12"/>
    <x v="250"/>
  </r>
  <r>
    <n v="275"/>
    <x v="195"/>
    <n v="5113488625"/>
    <s v="Empresa J"/>
    <s v="Esmeraldas"/>
    <x v="7"/>
    <x v="6"/>
    <s v="Empresa de embarque A"/>
    <m/>
    <s v="Ciruelas secas"/>
    <x v="1"/>
    <n v="49"/>
    <n v="78"/>
    <x v="219"/>
  </r>
  <r>
    <n v="276"/>
    <x v="196"/>
    <n v="8021429259"/>
    <s v="Empresa K"/>
    <s v="Quito"/>
    <x v="9"/>
    <x v="5"/>
    <s v="Empresa de embarque C"/>
    <m/>
    <s v="Salsa curry"/>
    <x v="5"/>
    <n v="560"/>
    <n v="60"/>
    <x v="251"/>
  </r>
  <r>
    <n v="277"/>
    <x v="186"/>
    <n v="680211800"/>
    <s v="Empresa A"/>
    <s v="Ambato"/>
    <x v="10"/>
    <x v="2"/>
    <s v="Empresa de embarque C"/>
    <m/>
    <s v="Carne de cangrejo"/>
    <x v="8"/>
    <n v="257.59999999999997"/>
    <n v="23"/>
    <x v="252"/>
  </r>
  <r>
    <n v="278"/>
    <x v="107"/>
    <n v="2635806056"/>
    <s v="Empresa BB"/>
    <s v="Manta"/>
    <x v="6"/>
    <x v="5"/>
    <s v="Empresa de embarque C"/>
    <s v="Tarjeta de crédito"/>
    <s v="Café"/>
    <x v="0"/>
    <n v="644"/>
    <n v="34"/>
    <x v="253"/>
  </r>
  <r>
    <n v="279"/>
    <x v="96"/>
    <n v="3338515953"/>
    <s v="Empresa I"/>
    <s v="Guayaquil"/>
    <x v="3"/>
    <x v="7"/>
    <s v="Empresa de embarque A"/>
    <s v="Cheque"/>
    <s v="Almejas"/>
    <x v="4"/>
    <n v="135.1"/>
    <n v="89"/>
    <x v="254"/>
  </r>
  <r>
    <n v="280"/>
    <x v="88"/>
    <n v="3075758565"/>
    <s v="Empresa F"/>
    <s v="Ibarra"/>
    <x v="5"/>
    <x v="4"/>
    <s v="Empresa de embarque B"/>
    <s v="Tarjeta de crédito"/>
    <s v="Chocolate"/>
    <x v="3"/>
    <n v="178.5"/>
    <n v="82"/>
    <x v="255"/>
  </r>
  <r>
    <n v="281"/>
    <x v="92"/>
    <n v="5383209032"/>
    <s v="Empresa H"/>
    <s v="Riobamba"/>
    <x v="2"/>
    <x v="2"/>
    <s v="Empresa de embarque B"/>
    <s v="Cheque"/>
    <s v="Chocolate"/>
    <x v="3"/>
    <n v="178.5"/>
    <n v="43"/>
    <x v="256"/>
  </r>
  <r>
    <n v="282"/>
    <x v="1"/>
    <n v="9635546425"/>
    <s v="Empresa J"/>
    <s v="Esmeraldas"/>
    <x v="7"/>
    <x v="6"/>
    <s v="Empresa de embarque A"/>
    <m/>
    <s v="Condimento cajún"/>
    <x v="7"/>
    <n v="308"/>
    <n v="96"/>
    <x v="257"/>
  </r>
  <r>
    <n v="283"/>
    <x v="96"/>
    <n v="3501364052"/>
    <s v="Empresa J"/>
    <s v="Esmeraldas"/>
    <x v="7"/>
    <x v="6"/>
    <s v="Empresa de embarque A"/>
    <m/>
    <s v="Galletas de chocolate"/>
    <x v="2"/>
    <n v="128.79999999999998"/>
    <n v="34"/>
    <x v="258"/>
  </r>
  <r>
    <n v="284"/>
    <x v="45"/>
    <n v="2226825043"/>
    <s v="Empresa K"/>
    <s v="Quito"/>
    <x v="9"/>
    <x v="5"/>
    <s v="Empresa de embarque C"/>
    <m/>
    <s v="Ciruelas secas"/>
    <x v="1"/>
    <n v="49"/>
    <n v="42"/>
    <x v="259"/>
  </r>
  <r>
    <n v="285"/>
    <x v="197"/>
    <n v="6321323029"/>
    <s v="Empresa K"/>
    <s v="Quito"/>
    <x v="9"/>
    <x v="5"/>
    <s v="Empresa de embarque C"/>
    <m/>
    <s v="Té verde"/>
    <x v="0"/>
    <n v="41.86"/>
    <n v="100"/>
    <x v="260"/>
  </r>
  <r>
    <n v="286"/>
    <x v="172"/>
    <n v="3775524143"/>
    <s v="Empresa A"/>
    <s v="Ambato"/>
    <x v="10"/>
    <x v="2"/>
    <m/>
    <m/>
    <s v="Té chai"/>
    <x v="0"/>
    <n v="252"/>
    <n v="42"/>
    <x v="261"/>
  </r>
  <r>
    <n v="287"/>
    <x v="198"/>
    <n v="9543041808"/>
    <s v="Empresa A"/>
    <s v="Ambato"/>
    <x v="10"/>
    <x v="2"/>
    <m/>
    <m/>
    <s v="Café"/>
    <x v="0"/>
    <n v="644"/>
    <n v="16"/>
    <x v="262"/>
  </r>
  <r>
    <n v="288"/>
    <x v="199"/>
    <n v="547647770"/>
    <s v="Empresa A"/>
    <s v="Ambato"/>
    <x v="10"/>
    <x v="2"/>
    <m/>
    <m/>
    <s v="Té verde"/>
    <x v="0"/>
    <n v="41.86"/>
    <n v="22"/>
    <x v="263"/>
  </r>
  <r>
    <n v="289"/>
    <x v="88"/>
    <n v="7120228607"/>
    <s v="Empresa BB"/>
    <s v="Manta"/>
    <x v="6"/>
    <x v="5"/>
    <s v="Empresa de embarque C"/>
    <s v="Tarjeta de crédito"/>
    <s v="Almejas"/>
    <x v="4"/>
    <n v="135.1"/>
    <n v="46"/>
    <x v="264"/>
  </r>
  <r>
    <n v="290"/>
    <x v="105"/>
    <n v="5554565190"/>
    <s v="Empresa BB"/>
    <s v="Manta"/>
    <x v="6"/>
    <x v="5"/>
    <s v="Empresa de embarque C"/>
    <s v="Tarjeta de crédito"/>
    <s v="Carne de cangrejo"/>
    <x v="8"/>
    <n v="257.59999999999997"/>
    <n v="100"/>
    <x v="265"/>
  </r>
  <r>
    <n v="291"/>
    <x v="77"/>
    <n v="1644848787"/>
    <s v="Empresa I"/>
    <s v="Guayaquil"/>
    <x v="3"/>
    <x v="7"/>
    <s v="Empresa de embarque A"/>
    <s v="Cheque"/>
    <s v="Ravioli"/>
    <x v="9"/>
    <n v="273"/>
    <n v="87"/>
    <x v="266"/>
  </r>
  <r>
    <n v="292"/>
    <x v="83"/>
    <n v="8273786477"/>
    <s v="Empresa I"/>
    <s v="Guayaquil"/>
    <x v="3"/>
    <x v="7"/>
    <s v="Empresa de embarque A"/>
    <s v="Cheque"/>
    <s v="Mozzarella"/>
    <x v="10"/>
    <n v="487.19999999999993"/>
    <n v="58"/>
    <x v="267"/>
  </r>
  <r>
    <n v="293"/>
    <x v="200"/>
    <n v="1397118248"/>
    <s v="Empresa F"/>
    <s v="Ibarra"/>
    <x v="5"/>
    <x v="4"/>
    <s v="Empresa de embarque B"/>
    <s v="Tarjeta de crédito"/>
    <s v="Cerveza"/>
    <x v="0"/>
    <n v="196"/>
    <n v="85"/>
    <x v="268"/>
  </r>
  <r>
    <n v="294"/>
    <x v="148"/>
    <n v="4468604310"/>
    <s v="Empresa H"/>
    <s v="Riobamba"/>
    <x v="2"/>
    <x v="2"/>
    <s v="Empresa de embarque B"/>
    <s v="Cheque"/>
    <s v="Salsa curry"/>
    <x v="5"/>
    <n v="560"/>
    <n v="28"/>
    <x v="140"/>
  </r>
  <r>
    <n v="295"/>
    <x v="49"/>
    <n v="457458721"/>
    <s v="Empresa H"/>
    <s v="Riobamba"/>
    <x v="2"/>
    <x v="2"/>
    <s v="Empresa de embarque B"/>
    <s v="Cheque"/>
    <s v="Galletas de chocolate"/>
    <x v="2"/>
    <n v="128.79999999999998"/>
    <n v="19"/>
    <x v="269"/>
  </r>
  <r>
    <n v="296"/>
    <x v="201"/>
    <n v="7184663808"/>
    <s v="Empresa Y"/>
    <s v="Esmeraldas"/>
    <x v="7"/>
    <x v="6"/>
    <s v="Empresa de embarque A"/>
    <s v="Efectivo"/>
    <s v="Bolillos"/>
    <x v="2"/>
    <n v="140"/>
    <n v="99"/>
    <x v="83"/>
  </r>
  <r>
    <n v="297"/>
    <x v="202"/>
    <n v="3449599231"/>
    <s v="Empresa Z"/>
    <s v="Quito"/>
    <x v="9"/>
    <x v="5"/>
    <s v="Empresa de embarque C"/>
    <s v="Tarjeta de crédito"/>
    <s v="Aceite de oliva"/>
    <x v="13"/>
    <n v="298.90000000000003"/>
    <n v="69"/>
    <x v="270"/>
  </r>
  <r>
    <n v="298"/>
    <x v="172"/>
    <n v="3901461858"/>
    <s v="Empresa Z"/>
    <s v="Quito"/>
    <x v="9"/>
    <x v="5"/>
    <s v="Empresa de embarque C"/>
    <s v="Tarjeta de crédito"/>
    <s v="Almejas"/>
    <x v="4"/>
    <n v="135.1"/>
    <n v="37"/>
    <x v="271"/>
  </r>
  <r>
    <n v="299"/>
    <x v="44"/>
    <n v="6798892819"/>
    <s v="Empresa Z"/>
    <s v="Quito"/>
    <x v="9"/>
    <x v="5"/>
    <s v="Empresa de embarque C"/>
    <s v="Tarjeta de crédito"/>
    <s v="Carne de cangrejo"/>
    <x v="8"/>
    <n v="257.59999999999997"/>
    <n v="64"/>
    <x v="108"/>
  </r>
  <r>
    <n v="300"/>
    <x v="188"/>
    <n v="6897506437"/>
    <s v="Empresa CC"/>
    <s v="Guayaquil"/>
    <x v="3"/>
    <x v="3"/>
    <s v="Empresa de embarque B"/>
    <s v="Cheque"/>
    <s v="Cerveza"/>
    <x v="0"/>
    <n v="196"/>
    <n v="38"/>
    <x v="201"/>
  </r>
  <r>
    <n v="301"/>
    <x v="203"/>
    <n v="6298594113"/>
    <s v="Empresa F"/>
    <s v="Ibarra"/>
    <x v="5"/>
    <x v="4"/>
    <s v="Empresa de embarque C"/>
    <s v="Cheque"/>
    <s v="Chocolate"/>
    <x v="3"/>
    <n v="178.5"/>
    <n v="15"/>
    <x v="272"/>
  </r>
  <r>
    <n v="302"/>
    <x v="180"/>
    <n v="6972691420"/>
    <s v="Empresa D"/>
    <s v="Azogues"/>
    <x v="1"/>
    <x v="1"/>
    <s v="Empresa de embarque A"/>
    <s v="Tarjeta de crédito"/>
    <s v="Mermelada de zarzamora"/>
    <x v="6"/>
    <n v="1134"/>
    <n v="52"/>
    <x v="273"/>
  </r>
  <r>
    <n v="303"/>
    <x v="204"/>
    <n v="677992170"/>
    <s v="Empresa D"/>
    <s v="Azogues"/>
    <x v="1"/>
    <x v="1"/>
    <s v="Empresa de embarque A"/>
    <s v="Tarjeta de crédito"/>
    <s v="Arroz de grano largo"/>
    <x v="14"/>
    <n v="98"/>
    <n v="37"/>
    <x v="59"/>
  </r>
  <r>
    <n v="304"/>
    <x v="205"/>
    <n v="3501827064"/>
    <s v="Empresa H"/>
    <s v="Riobamba"/>
    <x v="2"/>
    <x v="2"/>
    <s v="Empresa de embarque C"/>
    <s v="Tarjeta de crédito"/>
    <s v="Mozzarella"/>
    <x v="10"/>
    <n v="487.19999999999993"/>
    <n v="24"/>
    <x v="274"/>
  </r>
  <r>
    <n v="305"/>
    <x v="206"/>
    <n v="9140892367"/>
    <s v="Empresa C"/>
    <s v="Machala"/>
    <x v="4"/>
    <x v="0"/>
    <s v="Empresa de embarque B"/>
    <s v="Efectivo"/>
    <s v="Jarabe"/>
    <x v="7"/>
    <n v="140"/>
    <n v="36"/>
    <x v="275"/>
  </r>
  <r>
    <n v="306"/>
    <x v="13"/>
    <n v="7570396760"/>
    <s v="Empresa C"/>
    <s v="Machala"/>
    <x v="4"/>
    <x v="0"/>
    <s v="Empresa de embarque B"/>
    <s v="Efectivo"/>
    <s v="Salsa curry"/>
    <x v="5"/>
    <n v="560"/>
    <n v="24"/>
    <x v="276"/>
  </r>
  <r>
    <n v="307"/>
    <x v="112"/>
    <n v="5368769086"/>
    <s v="Empresa J"/>
    <s v="Esmeraldas"/>
    <x v="7"/>
    <x v="6"/>
    <s v="Empresa de embarque B"/>
    <s v="Tarjeta de crédito"/>
    <s v="Almendras"/>
    <x v="1"/>
    <n v="140"/>
    <n v="20"/>
    <x v="277"/>
  </r>
  <r>
    <n v="308"/>
    <x v="151"/>
    <n v="443042127"/>
    <s v="Empresa J"/>
    <s v="Esmeraldas"/>
    <x v="7"/>
    <x v="6"/>
    <s v="Empresa de embarque A"/>
    <m/>
    <s v="Ciruelas secas"/>
    <x v="1"/>
    <n v="49"/>
    <n v="11"/>
    <x v="278"/>
  </r>
  <r>
    <n v="309"/>
    <x v="207"/>
    <n v="3198859022"/>
    <s v="Empresa K"/>
    <s v="Quito"/>
    <x v="9"/>
    <x v="5"/>
    <s v="Empresa de embarque C"/>
    <m/>
    <s v="Salsa curry"/>
    <x v="5"/>
    <n v="560"/>
    <n v="78"/>
    <x v="193"/>
  </r>
  <r>
    <n v="310"/>
    <x v="153"/>
    <n v="2982674072"/>
    <s v="Empresa A"/>
    <s v="Ambato"/>
    <x v="10"/>
    <x v="2"/>
    <s v="Empresa de embarque C"/>
    <m/>
    <s v="Carne de cangrejo"/>
    <x v="8"/>
    <n v="257.59999999999997"/>
    <n v="76"/>
    <x v="279"/>
  </r>
  <r>
    <n v="311"/>
    <x v="149"/>
    <n v="1636086310"/>
    <s v="Empresa BB"/>
    <s v="Manta"/>
    <x v="6"/>
    <x v="5"/>
    <s v="Empresa de embarque C"/>
    <s v="Tarjeta de crédito"/>
    <s v="Café"/>
    <x v="0"/>
    <n v="644"/>
    <n v="57"/>
    <x v="280"/>
  </r>
  <r>
    <n v="312"/>
    <x v="82"/>
    <n v="9879315200"/>
    <s v="Empresa I"/>
    <s v="Guayaquil"/>
    <x v="3"/>
    <x v="7"/>
    <s v="Empresa de embarque A"/>
    <s v="Cheque"/>
    <s v="Almejas"/>
    <x v="4"/>
    <n v="135.1"/>
    <n v="14"/>
    <x v="281"/>
  </r>
  <r>
    <n v="313"/>
    <x v="208"/>
    <n v="3833780472"/>
    <s v="Empresa AA"/>
    <s v="Cuenca"/>
    <x v="0"/>
    <x v="0"/>
    <s v="Empresa de embarque B"/>
    <s v="Cheque"/>
    <s v="Cerveza"/>
    <x v="0"/>
    <n v="196"/>
    <n v="14"/>
    <x v="282"/>
  </r>
  <r>
    <n v="314"/>
    <x v="209"/>
    <n v="1343389818"/>
    <s v="Empresa AA"/>
    <s v="Cuenca"/>
    <x v="0"/>
    <x v="0"/>
    <s v="Empresa de embarque B"/>
    <s v="Cheque"/>
    <s v="Ciruelas secas"/>
    <x v="1"/>
    <n v="49"/>
    <n v="70"/>
    <x v="283"/>
  </r>
  <r>
    <n v="315"/>
    <x v="210"/>
    <n v="3066920858"/>
    <s v="Empresa D"/>
    <s v="Azogues"/>
    <x v="1"/>
    <x v="1"/>
    <s v="Empresa de embarque A"/>
    <s v="Tarjeta de crédito"/>
    <s v="Peras secas"/>
    <x v="1"/>
    <n v="420"/>
    <n v="100"/>
    <x v="284"/>
  </r>
  <r>
    <n v="316"/>
    <x v="53"/>
    <n v="3596038071"/>
    <s v="Empresa D"/>
    <s v="Azogues"/>
    <x v="1"/>
    <x v="1"/>
    <s v="Empresa de embarque A"/>
    <s v="Tarjeta de crédito"/>
    <s v="Manzanas secas"/>
    <x v="1"/>
    <n v="742"/>
    <n v="27"/>
    <x v="285"/>
  </r>
  <r>
    <n v="317"/>
    <x v="24"/>
    <n v="8280434895"/>
    <s v="Empresa D"/>
    <s v="Azogues"/>
    <x v="1"/>
    <x v="1"/>
    <s v="Empresa de embarque A"/>
    <s v="Tarjeta de crédito"/>
    <s v="Ciruelas secas"/>
    <x v="1"/>
    <n v="49"/>
    <n v="70"/>
    <x v="283"/>
  </r>
  <r>
    <n v="318"/>
    <x v="26"/>
    <n v="7983505639"/>
    <s v="Empresa L"/>
    <s v="Cuenca"/>
    <x v="0"/>
    <x v="0"/>
    <s v="Empresa de embarque B"/>
    <s v="Tarjeta de crédito"/>
    <s v="Té chai"/>
    <x v="0"/>
    <n v="252"/>
    <n v="57"/>
    <x v="286"/>
  </r>
  <r>
    <n v="319"/>
    <x v="156"/>
    <n v="4943792001"/>
    <s v="Empresa L"/>
    <s v="Cuenca"/>
    <x v="0"/>
    <x v="0"/>
    <s v="Empresa de embarque B"/>
    <s v="Tarjeta de crédito"/>
    <s v="Café"/>
    <x v="0"/>
    <n v="644"/>
    <n v="83"/>
    <x v="287"/>
  </r>
  <r>
    <n v="320"/>
    <x v="211"/>
    <n v="2679766092"/>
    <s v="Empresa H"/>
    <s v="Riobamba"/>
    <x v="2"/>
    <x v="2"/>
    <s v="Empresa de embarque C"/>
    <s v="Tarjeta de crédito"/>
    <s v="Galletas de chocolate"/>
    <x v="2"/>
    <n v="128.79999999999998"/>
    <n v="76"/>
    <x v="288"/>
  </r>
  <r>
    <n v="321"/>
    <x v="212"/>
    <n v="6256032641"/>
    <s v="Empresa D"/>
    <s v="Azogues"/>
    <x v="1"/>
    <x v="1"/>
    <s v="Empresa de embarque C"/>
    <s v="Cheque"/>
    <s v="Galletas de chocolate"/>
    <x v="2"/>
    <n v="128.79999999999998"/>
    <n v="80"/>
    <x v="131"/>
  </r>
  <r>
    <n v="322"/>
    <x v="213"/>
    <n v="8317306577"/>
    <s v="Empresa CC"/>
    <s v="Guayaquil"/>
    <x v="3"/>
    <x v="3"/>
    <s v="Empresa de embarque B"/>
    <s v="Cheque"/>
    <s v="Chocolate"/>
    <x v="3"/>
    <n v="178.5"/>
    <n v="47"/>
    <x v="289"/>
  </r>
  <r>
    <n v="323"/>
    <x v="121"/>
    <n v="4952054948"/>
    <s v="Empresa C"/>
    <s v="Machala"/>
    <x v="4"/>
    <x v="0"/>
    <s v="Empresa de embarque B"/>
    <s v="Efectivo"/>
    <s v="Almejas"/>
    <x v="4"/>
    <n v="135.1"/>
    <n v="96"/>
    <x v="290"/>
  </r>
  <r>
    <n v="324"/>
    <x v="214"/>
    <n v="7792270317"/>
    <s v="Empresa F"/>
    <s v="Ibarra"/>
    <x v="5"/>
    <x v="4"/>
    <s v="Empresa de embarque B"/>
    <s v="Tarjeta de crédito"/>
    <s v="Salsa curry"/>
    <x v="5"/>
    <n v="560"/>
    <n v="32"/>
    <x v="291"/>
  </r>
  <r>
    <n v="325"/>
    <x v="10"/>
    <n v="8753687299"/>
    <s v="Empresa BB"/>
    <s v="Manta"/>
    <x v="6"/>
    <x v="5"/>
    <s v="Empresa de embarque C"/>
    <s v="Cheque"/>
    <s v="Café"/>
    <x v="0"/>
    <n v="644"/>
    <n v="16"/>
    <x v="262"/>
  </r>
  <r>
    <n v="326"/>
    <x v="213"/>
    <n v="3276376437"/>
    <s v="Empresa H"/>
    <s v="Riobamba"/>
    <x v="2"/>
    <x v="2"/>
    <s v="Empresa de embarque C"/>
    <s v="Cheque"/>
    <s v="Chocolate"/>
    <x v="3"/>
    <n v="178.5"/>
    <n v="41"/>
    <x v="88"/>
  </r>
  <r>
    <n v="327"/>
    <x v="202"/>
    <n v="6189400875"/>
    <s v="Empresa J"/>
    <s v="Esmeraldas"/>
    <x v="7"/>
    <x v="6"/>
    <s v="Empresa de embarque B"/>
    <s v="Tarjeta de crédito"/>
    <s v="Té verde"/>
    <x v="0"/>
    <n v="41.86"/>
    <n v="41"/>
    <x v="292"/>
  </r>
  <r>
    <n v="328"/>
    <x v="124"/>
    <n v="3440571177"/>
    <s v="Empresa G"/>
    <s v="Guaranda"/>
    <x v="8"/>
    <x v="2"/>
    <m/>
    <m/>
    <s v="Café"/>
    <x v="0"/>
    <n v="644"/>
    <n v="41"/>
    <x v="293"/>
  </r>
  <r>
    <n v="329"/>
    <x v="215"/>
    <n v="8874798513"/>
    <s v="Empresa J"/>
    <s v="Esmeraldas"/>
    <x v="7"/>
    <x v="6"/>
    <s v="Empresa de embarque A"/>
    <m/>
    <s v="Jalea de fresa"/>
    <x v="6"/>
    <n v="350"/>
    <n v="94"/>
    <x v="294"/>
  </r>
  <r>
    <n v="330"/>
    <x v="45"/>
    <n v="9730368433"/>
    <s v="Empresa J"/>
    <s v="Esmeraldas"/>
    <x v="7"/>
    <x v="6"/>
    <s v="Empresa de embarque A"/>
    <m/>
    <s v="Condimento cajún"/>
    <x v="7"/>
    <n v="308"/>
    <n v="20"/>
    <x v="295"/>
  </r>
  <r>
    <n v="331"/>
    <x v="32"/>
    <n v="6592275352"/>
    <s v="Empresa J"/>
    <s v="Esmeraldas"/>
    <x v="7"/>
    <x v="6"/>
    <s v="Empresa de embarque A"/>
    <m/>
    <s v="Galletas de chocolate"/>
    <x v="2"/>
    <n v="128.79999999999998"/>
    <n v="13"/>
    <x v="296"/>
  </r>
  <r>
    <n v="332"/>
    <x v="51"/>
    <n v="9303282439"/>
    <s v="Empresa K"/>
    <s v="Quito"/>
    <x v="9"/>
    <x v="5"/>
    <s v="Empresa de embarque C"/>
    <m/>
    <s v="Ciruelas secas"/>
    <x v="1"/>
    <n v="49"/>
    <n v="74"/>
    <x v="59"/>
  </r>
  <r>
    <n v="333"/>
    <x v="171"/>
    <n v="8998167680"/>
    <s v="Empresa K"/>
    <s v="Quito"/>
    <x v="9"/>
    <x v="5"/>
    <s v="Empresa de embarque C"/>
    <m/>
    <s v="Té verde"/>
    <x v="0"/>
    <n v="41.86"/>
    <n v="53"/>
    <x v="297"/>
  </r>
  <r>
    <n v="334"/>
    <x v="216"/>
    <n v="2058395697"/>
    <s v="Empresa A"/>
    <s v="Ambato"/>
    <x v="10"/>
    <x v="2"/>
    <m/>
    <m/>
    <s v="Té chai"/>
    <x v="0"/>
    <n v="252"/>
    <n v="99"/>
    <x v="298"/>
  </r>
  <r>
    <n v="335"/>
    <x v="217"/>
    <n v="5534305664"/>
    <s v="Empresa A"/>
    <s v="Ambato"/>
    <x v="10"/>
    <x v="2"/>
    <m/>
    <m/>
    <s v="Café"/>
    <x v="0"/>
    <n v="644"/>
    <n v="89"/>
    <x v="299"/>
  </r>
  <r>
    <n v="336"/>
    <x v="181"/>
    <n v="5417309832"/>
    <s v="Empresa A"/>
    <s v="Ambato"/>
    <x v="10"/>
    <x v="2"/>
    <m/>
    <m/>
    <s v="Té verde"/>
    <x v="0"/>
    <n v="41.86"/>
    <n v="64"/>
    <x v="204"/>
  </r>
  <r>
    <n v="337"/>
    <x v="101"/>
    <n v="7626114952"/>
    <s v="Empresa BB"/>
    <s v="Manta"/>
    <x v="6"/>
    <x v="5"/>
    <s v="Empresa de embarque C"/>
    <s v="Tarjeta de crédito"/>
    <s v="Almejas"/>
    <x v="4"/>
    <n v="135.1"/>
    <n v="98"/>
    <x v="300"/>
  </r>
  <r>
    <n v="338"/>
    <x v="218"/>
    <n v="7075151442"/>
    <s v="Empresa BB"/>
    <s v="Manta"/>
    <x v="6"/>
    <x v="5"/>
    <s v="Empresa de embarque C"/>
    <s v="Tarjeta de crédito"/>
    <s v="Carne de cangrejo"/>
    <x v="8"/>
    <n v="257.59999999999997"/>
    <n v="86"/>
    <x v="301"/>
  </r>
  <r>
    <n v="339"/>
    <x v="31"/>
    <n v="4170346813"/>
    <s v="Empresa I"/>
    <s v="Guayaquil"/>
    <x v="3"/>
    <x v="7"/>
    <s v="Empresa de embarque A"/>
    <s v="Cheque"/>
    <s v="Ravioli"/>
    <x v="9"/>
    <n v="273"/>
    <n v="20"/>
    <x v="302"/>
  </r>
  <r>
    <n v="340"/>
    <x v="34"/>
    <n v="7181884746"/>
    <s v="Empresa I"/>
    <s v="Guayaquil"/>
    <x v="3"/>
    <x v="7"/>
    <s v="Empresa de embarque A"/>
    <s v="Cheque"/>
    <s v="Mozzarella"/>
    <x v="10"/>
    <n v="487.19999999999993"/>
    <n v="69"/>
    <x v="303"/>
  </r>
  <r>
    <n v="341"/>
    <x v="219"/>
    <n v="654398232"/>
    <s v="Empresa F"/>
    <s v="Ibarra"/>
    <x v="5"/>
    <x v="4"/>
    <s v="Empresa de embarque B"/>
    <s v="Tarjeta de crédito"/>
    <s v="Cerveza"/>
    <x v="0"/>
    <n v="196"/>
    <n v="68"/>
    <x v="304"/>
  </r>
  <r>
    <n v="342"/>
    <x v="81"/>
    <n v="6559752885"/>
    <s v="Empresa H"/>
    <s v="Riobamba"/>
    <x v="2"/>
    <x v="2"/>
    <s v="Empresa de embarque B"/>
    <s v="Cheque"/>
    <s v="Salsa curry"/>
    <x v="5"/>
    <n v="560"/>
    <n v="52"/>
    <x v="305"/>
  </r>
  <r>
    <n v="343"/>
    <x v="191"/>
    <n v="9428165637"/>
    <s v="Empresa H"/>
    <s v="Riobamba"/>
    <x v="2"/>
    <x v="2"/>
    <s v="Empresa de embarque B"/>
    <s v="Cheque"/>
    <s v="Galletas de chocolate"/>
    <x v="2"/>
    <n v="128.79999999999998"/>
    <n v="40"/>
    <x v="306"/>
  </r>
  <r>
    <n v="344"/>
    <x v="11"/>
    <n v="9902612158"/>
    <s v="Empresa Y"/>
    <s v="Esmeraldas"/>
    <x v="7"/>
    <x v="6"/>
    <s v="Empresa de embarque A"/>
    <s v="Efectivo"/>
    <s v="Bolillos"/>
    <x v="2"/>
    <n v="140"/>
    <n v="100"/>
    <x v="117"/>
  </r>
  <r>
    <n v="345"/>
    <x v="56"/>
    <n v="9601886174"/>
    <s v="Empresa Z"/>
    <s v="Quito"/>
    <x v="9"/>
    <x v="5"/>
    <s v="Empresa de embarque C"/>
    <s v="Tarjeta de crédito"/>
    <s v="Aceite de oliva"/>
    <x v="13"/>
    <n v="298.90000000000003"/>
    <n v="88"/>
    <x v="307"/>
  </r>
  <r>
    <n v="346"/>
    <x v="220"/>
    <n v="9194823962"/>
    <s v="Empresa Z"/>
    <s v="Quito"/>
    <x v="9"/>
    <x v="5"/>
    <s v="Empresa de embarque C"/>
    <s v="Tarjeta de crédito"/>
    <s v="Almejas"/>
    <x v="4"/>
    <n v="135.1"/>
    <n v="46"/>
    <x v="264"/>
  </r>
  <r>
    <n v="347"/>
    <x v="217"/>
    <n v="3580433044"/>
    <s v="Empresa Z"/>
    <s v="Quito"/>
    <x v="9"/>
    <x v="5"/>
    <s v="Empresa de embarque C"/>
    <s v="Tarjeta de crédito"/>
    <s v="Carne de cangrejo"/>
    <x v="8"/>
    <n v="257.59999999999997"/>
    <n v="93"/>
    <x v="308"/>
  </r>
  <r>
    <n v="348"/>
    <x v="148"/>
    <n v="7020598503"/>
    <s v="Empresa CC"/>
    <s v="Guayaquil"/>
    <x v="3"/>
    <x v="3"/>
    <s v="Empresa de embarque B"/>
    <s v="Cheque"/>
    <s v="Cerveza"/>
    <x v="0"/>
    <n v="196"/>
    <n v="96"/>
    <x v="309"/>
  </r>
  <r>
    <n v="349"/>
    <x v="101"/>
    <n v="8040421717"/>
    <s v="Empresa F"/>
    <s v="Ibarra"/>
    <x v="5"/>
    <x v="4"/>
    <s v="Empresa de embarque C"/>
    <s v="Cheque"/>
    <s v="Chocolate"/>
    <x v="3"/>
    <n v="178.5"/>
    <n v="12"/>
    <x v="310"/>
  </r>
  <r>
    <n v="350"/>
    <x v="220"/>
    <n v="3654530055"/>
    <s v="Empresa D"/>
    <s v="Azogues"/>
    <x v="1"/>
    <x v="1"/>
    <s v="Empresa de embarque A"/>
    <s v="Tarjeta de crédito"/>
    <s v="Mermelada de zarzamora"/>
    <x v="6"/>
    <n v="1134"/>
    <n v="38"/>
    <x v="311"/>
  </r>
  <r>
    <n v="351"/>
    <x v="221"/>
    <n v="2061527783"/>
    <s v="Empresa D"/>
    <s v="Azogues"/>
    <x v="1"/>
    <x v="1"/>
    <s v="Empresa de embarque A"/>
    <s v="Tarjeta de crédito"/>
    <s v="Arroz de grano largo"/>
    <x v="14"/>
    <n v="98"/>
    <n v="42"/>
    <x v="109"/>
  </r>
  <r>
    <n v="352"/>
    <x v="220"/>
    <n v="7896754000"/>
    <s v="Empresa H"/>
    <s v="Riobamba"/>
    <x v="2"/>
    <x v="2"/>
    <s v="Empresa de embarque C"/>
    <s v="Tarjeta de crédito"/>
    <s v="Mozzarella"/>
    <x v="10"/>
    <n v="487.19999999999993"/>
    <n v="100"/>
    <x v="312"/>
  </r>
  <r>
    <n v="353"/>
    <x v="222"/>
    <n v="7608023281"/>
    <s v="Empresa C"/>
    <s v="Machala"/>
    <x v="4"/>
    <x v="0"/>
    <s v="Empresa de embarque B"/>
    <s v="Efectivo"/>
    <s v="Jarabe"/>
    <x v="7"/>
    <n v="140"/>
    <n v="89"/>
    <x v="313"/>
  </r>
  <r>
    <n v="354"/>
    <x v="8"/>
    <n v="1088259448"/>
    <s v="Empresa C"/>
    <s v="Machala"/>
    <x v="4"/>
    <x v="0"/>
    <s v="Empresa de embarque B"/>
    <s v="Efectivo"/>
    <s v="Salsa curry"/>
    <x v="5"/>
    <n v="560"/>
    <n v="12"/>
    <x v="61"/>
  </r>
  <r>
    <n v="355"/>
    <x v="223"/>
    <n v="8019968936"/>
    <s v="Empresa J"/>
    <s v="Esmeraldas"/>
    <x v="7"/>
    <x v="6"/>
    <s v="Empresa de embarque B"/>
    <s v="Tarjeta de crédito"/>
    <s v="Almendras"/>
    <x v="1"/>
    <n v="140"/>
    <n v="97"/>
    <x v="314"/>
  </r>
  <r>
    <n v="356"/>
    <x v="178"/>
    <n v="767630917"/>
    <s v="Empresa J"/>
    <s v="Esmeraldas"/>
    <x v="7"/>
    <x v="6"/>
    <s v="Empresa de embarque A"/>
    <m/>
    <s v="Ciruelas secas"/>
    <x v="1"/>
    <n v="49"/>
    <n v="53"/>
    <x v="315"/>
  </r>
  <r>
    <n v="357"/>
    <x v="224"/>
    <n v="8764802979"/>
    <s v="Empresa K"/>
    <s v="Quito"/>
    <x v="9"/>
    <x v="5"/>
    <s v="Empresa de embarque C"/>
    <m/>
    <s v="Salsa curry"/>
    <x v="5"/>
    <n v="560"/>
    <n v="61"/>
    <x v="316"/>
  </r>
  <r>
    <n v="358"/>
    <x v="225"/>
    <n v="1212476279"/>
    <s v="Empresa A"/>
    <s v="Ambato"/>
    <x v="10"/>
    <x v="2"/>
    <s v="Empresa de embarque C"/>
    <m/>
    <s v="Carne de cangrejo"/>
    <x v="8"/>
    <n v="257.59999999999997"/>
    <n v="45"/>
    <x v="317"/>
  </r>
  <r>
    <n v="359"/>
    <x v="201"/>
    <n v="8659179079"/>
    <s v="Empresa BB"/>
    <s v="Manta"/>
    <x v="6"/>
    <x v="5"/>
    <s v="Empresa de embarque C"/>
    <s v="Tarjeta de crédito"/>
    <s v="Café"/>
    <x v="0"/>
    <n v="644"/>
    <n v="43"/>
    <x v="318"/>
  </r>
  <r>
    <n v="360"/>
    <x v="226"/>
    <n v="4311827425"/>
    <s v="Empresa I"/>
    <s v="Guayaquil"/>
    <x v="3"/>
    <x v="7"/>
    <s v="Empresa de embarque A"/>
    <s v="Cheque"/>
    <s v="Almejas"/>
    <x v="4"/>
    <n v="135.1"/>
    <n v="18"/>
    <x v="319"/>
  </r>
  <r>
    <n v="361"/>
    <x v="65"/>
    <n v="7400116244"/>
    <s v="Empresa F"/>
    <s v="Ibarra"/>
    <x v="5"/>
    <x v="4"/>
    <s v="Empresa de embarque B"/>
    <s v="Tarjeta de crédito"/>
    <s v="Chocolate"/>
    <x v="3"/>
    <n v="178.5"/>
    <n v="41"/>
    <x v="88"/>
  </r>
  <r>
    <n v="362"/>
    <x v="128"/>
    <n v="8550780121"/>
    <s v="Empresa H"/>
    <s v="Riobamba"/>
    <x v="2"/>
    <x v="2"/>
    <s v="Empresa de embarque B"/>
    <s v="Cheque"/>
    <s v="Chocolate"/>
    <x v="3"/>
    <n v="178.5"/>
    <n v="19"/>
    <x v="110"/>
  </r>
  <r>
    <n v="363"/>
    <x v="106"/>
    <n v="9461451917"/>
    <s v="Empresa Y"/>
    <s v="Esmeraldas"/>
    <x v="7"/>
    <x v="6"/>
    <s v="Empresa de embarque A"/>
    <s v="Efectivo"/>
    <s v="Condimento cajún"/>
    <x v="7"/>
    <n v="308"/>
    <n v="65"/>
    <x v="320"/>
  </r>
  <r>
    <n v="364"/>
    <x v="141"/>
    <n v="3160888933"/>
    <s v="Empresa Z"/>
    <s v="Quito"/>
    <x v="9"/>
    <x v="5"/>
    <s v="Empresa de embarque C"/>
    <s v="Tarjeta de crédito"/>
    <s v="Jalea de fresa"/>
    <x v="6"/>
    <n v="350"/>
    <n v="13"/>
    <x v="321"/>
  </r>
  <r>
    <n v="365"/>
    <x v="125"/>
    <n v="6433254443"/>
    <s v="Empresa CC"/>
    <s v="Guayaquil"/>
    <x v="3"/>
    <x v="3"/>
    <s v="Empresa de embarque B"/>
    <s v="Cheque"/>
    <s v="Cóctel de frutas"/>
    <x v="12"/>
    <n v="546"/>
    <n v="54"/>
    <x v="322"/>
  </r>
  <r>
    <n v="366"/>
    <x v="116"/>
    <n v="8977261174"/>
    <s v="Empresa F"/>
    <s v="Ibarra"/>
    <x v="5"/>
    <x v="4"/>
    <s v="Empresa de embarque C"/>
    <s v="Cheque"/>
    <s v="Peras secas"/>
    <x v="1"/>
    <n v="420"/>
    <n v="33"/>
    <x v="83"/>
  </r>
  <r>
    <n v="367"/>
    <x v="67"/>
    <n v="7770716054"/>
    <s v="Empresa F"/>
    <s v="Ibarra"/>
    <x v="5"/>
    <x v="4"/>
    <s v="Empresa de embarque C"/>
    <s v="Cheque"/>
    <s v="Manzanas secas"/>
    <x v="1"/>
    <n v="742"/>
    <n v="34"/>
    <x v="323"/>
  </r>
  <r>
    <n v="368"/>
    <x v="227"/>
    <n v="2754807386"/>
    <s v="Empresa D"/>
    <s v="Azogues"/>
    <x v="1"/>
    <x v="1"/>
    <m/>
    <m/>
    <s v="Pasta penne"/>
    <x v="9"/>
    <n v="532"/>
    <n v="59"/>
    <x v="324"/>
  </r>
  <r>
    <n v="369"/>
    <x v="228"/>
    <n v="3873424489"/>
    <s v="Empresa C"/>
    <s v="Machala"/>
    <x v="4"/>
    <x v="0"/>
    <m/>
    <m/>
    <s v="Té verde"/>
    <x v="0"/>
    <n v="41.86"/>
    <n v="24"/>
    <x v="3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3D828-8D63-471B-867A-4659F7870FF2}" name="TablaDinámica5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59:B63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h="1" x="13"/>
        <item x="0"/>
        <item h="1" x="8"/>
        <item h="1" x="7"/>
        <item h="1" x="3"/>
        <item h="1" x="1"/>
        <item h="1" x="12"/>
        <item h="1" x="14"/>
        <item h="1" x="6"/>
        <item h="1" x="9"/>
        <item h="1" x="2"/>
        <item h="1" x="10"/>
        <item h="1" x="5"/>
        <item h="1" x="4"/>
        <item h="1" x="11"/>
        <item t="default"/>
      </items>
    </pivotField>
    <pivotField showAll="0"/>
    <pivotField showAll="0"/>
    <pivotField dataField="1" showAll="0"/>
    <pivotField showAll="0" defaultSubtotal="0"/>
  </pivotFields>
  <rowFields count="1">
    <field x="5"/>
  </rowFields>
  <rowItems count="4">
    <i>
      <x v="5"/>
    </i>
    <i>
      <x v="6"/>
    </i>
    <i>
      <x v="7"/>
    </i>
    <i t="grand">
      <x/>
    </i>
  </rowItems>
  <colItems count="1">
    <i/>
  </colItems>
  <dataFields count="1">
    <dataField name="Suma de Ventas" fld="13" baseField="5" baseItem="2"/>
  </dataField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7A69B-49ED-4956-9A68-C345114EA525}" name="TablaDinámica4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5">
  <location ref="A45:B48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h="1" x="13"/>
        <item x="0"/>
        <item h="1" x="8"/>
        <item h="1" x="7"/>
        <item h="1" x="3"/>
        <item h="1" x="1"/>
        <item h="1" x="12"/>
        <item h="1" x="14"/>
        <item h="1" x="6"/>
        <item h="1" x="9"/>
        <item h="1" x="2"/>
        <item h="1" x="10"/>
        <item h="1" x="5"/>
        <item h="1" x="4"/>
        <item h="1" x="11"/>
        <item t="default"/>
      </items>
    </pivotField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13"/>
  </rowFields>
  <rowItems count="3">
    <i>
      <x v="1"/>
    </i>
    <i>
      <x v="2"/>
    </i>
    <i t="grand">
      <x/>
    </i>
  </rowItems>
  <colItems count="1">
    <i/>
  </colItems>
  <dataFields count="1">
    <dataField name="Suma de Ventas" fld="13" baseField="13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4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7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7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7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7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7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47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8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8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8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8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8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48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92CAE-C7DB-42D8-984D-26A874F8D944}" name="TablaDinámica3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2">
  <location ref="A27:B29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axis="axisRow" showAll="0">
      <items count="16">
        <item h="1" x="13"/>
        <item x="0"/>
        <item h="1" x="8"/>
        <item h="1" x="7"/>
        <item h="1" x="3"/>
        <item h="1" x="1"/>
        <item h="1" x="12"/>
        <item h="1" x="14"/>
        <item h="1" x="6"/>
        <item h="1" x="9"/>
        <item h="1" x="2"/>
        <item h="1" x="10"/>
        <item h="1" x="5"/>
        <item h="1" x="4"/>
        <item h="1"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a de Ventas" fld="13" baseField="1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93275-2B26-4E6A-AA57-D4CE07070151}" name="TablaDinámica2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3">
  <location ref="A16:B20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axis="axisRow"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h="1" x="13"/>
        <item x="0"/>
        <item h="1" x="8"/>
        <item h="1" x="7"/>
        <item h="1" x="3"/>
        <item h="1" x="1"/>
        <item h="1" x="12"/>
        <item h="1" x="14"/>
        <item h="1" x="6"/>
        <item h="1" x="9"/>
        <item h="1" x="2"/>
        <item h="1" x="10"/>
        <item h="1" x="5"/>
        <item h="1" x="4"/>
        <item h="1"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6"/>
  </rowFields>
  <rowItems count="4">
    <i>
      <x v="2"/>
    </i>
    <i>
      <x v="4"/>
    </i>
    <i>
      <x v="6"/>
    </i>
    <i t="grand">
      <x/>
    </i>
  </rowItems>
  <colItems count="1">
    <i/>
  </colItems>
  <dataFields count="1">
    <dataField name="Cuenta de Ventas" fld="1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A91-4F1E-493E-AB7D-19CC031002B3}" name="TablaDinámica1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8">
  <location ref="A1:B3" firstHeaderRow="1" firstDataRow="1" firstDataCol="1"/>
  <pivotFields count="15">
    <pivotField showAll="0"/>
    <pivotField axis="axisRow"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h="1" x="13"/>
        <item x="0"/>
        <item h="1" x="8"/>
        <item h="1" x="7"/>
        <item h="1" x="3"/>
        <item h="1" x="1"/>
        <item h="1" x="12"/>
        <item h="1" x="14"/>
        <item h="1" x="6"/>
        <item h="1" x="9"/>
        <item h="1" x="2"/>
        <item h="1" x="10"/>
        <item h="1" x="5"/>
        <item h="1" x="4"/>
        <item h="1"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4"/>
    <field x="1"/>
  </rowFields>
  <rowItems count="2">
    <i>
      <x v="2"/>
    </i>
    <i t="grand">
      <x/>
    </i>
  </rowItems>
  <colItems count="1">
    <i/>
  </colItems>
  <dataFields count="1">
    <dataField name="Suma de Ventas" fld="13" baseField="1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5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67BB9-A5B9-42AF-9FA1-5C824FE4568A}" name="TablaDinámica9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4">
  <location ref="A46:B50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x="13"/>
        <item x="0"/>
        <item x="8"/>
        <item x="7"/>
        <item x="3"/>
        <item x="1"/>
        <item x="12"/>
        <item x="14"/>
        <item x="6"/>
        <item x="9"/>
        <item x="2"/>
        <item x="10"/>
        <item x="5"/>
        <item x="4"/>
        <item x="11"/>
        <item t="default"/>
      </items>
    </pivotField>
    <pivotField showAll="0"/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14D84-DB38-4FA0-A1D4-4DEA24D1BBC4}" name="TablaDinámica8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4">
  <location ref="A28:B36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axis="axisRow" showAll="0">
      <items count="16">
        <item x="13"/>
        <item x="0"/>
        <item x="8"/>
        <item x="7"/>
        <item x="3"/>
        <item x="1"/>
        <item x="12"/>
        <item x="14"/>
        <item x="6"/>
        <item x="9"/>
        <item x="2"/>
        <item x="10"/>
        <item x="5"/>
        <item x="4"/>
        <item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10"/>
  </rowFields>
  <rowItems count="8">
    <i>
      <x v="1"/>
    </i>
    <i>
      <x v="3"/>
    </i>
    <i>
      <x v="4"/>
    </i>
    <i>
      <x v="5"/>
    </i>
    <i>
      <x v="9"/>
    </i>
    <i>
      <x v="10"/>
    </i>
    <i>
      <x v="14"/>
    </i>
    <i t="grand">
      <x/>
    </i>
  </rowItems>
  <colItems count="1">
    <i/>
  </colItems>
  <dataFields count="1">
    <dataField name="Suma de Venta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BDA97-9931-47F5-9821-F1C78BAF9EF7}" name="TablaDinámica7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4">
  <location ref="A16:B22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axis="axisRow"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x="13"/>
        <item x="0"/>
        <item x="8"/>
        <item x="7"/>
        <item x="3"/>
        <item x="1"/>
        <item x="12"/>
        <item x="14"/>
        <item x="6"/>
        <item x="9"/>
        <item x="2"/>
        <item x="10"/>
        <item x="5"/>
        <item x="4"/>
        <item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6"/>
  </rowFields>
  <rowItems count="6"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a de Venta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BAE47-F179-4590-8DAD-A74F82F5E0EE}" name="TablaDinámica6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4">
  <location ref="A1:B3" firstHeaderRow="1" firstDataRow="1" firstDataCol="1"/>
  <pivotFields count="15">
    <pivotField showAll="0"/>
    <pivotField axis="axisRow"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x="13"/>
        <item x="0"/>
        <item x="8"/>
        <item x="7"/>
        <item x="3"/>
        <item x="1"/>
        <item x="12"/>
        <item x="14"/>
        <item x="6"/>
        <item x="9"/>
        <item x="2"/>
        <item x="10"/>
        <item x="5"/>
        <item x="4"/>
        <item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"/>
  </rowFields>
  <rowItems count="2">
    <i>
      <x v="2"/>
    </i>
    <i t="grand">
      <x/>
    </i>
  </rowItems>
  <colItems count="1">
    <i/>
  </colItems>
  <dataFields count="1">
    <dataField name="Suma de Venta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DC4FB-B04E-4BDA-9B3C-42EE00592F30}" name="TablaDinámica10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>
  <location ref="A58:B63" firstHeaderRow="1" firstDataRow="1" firstDataCol="1"/>
  <pivotFields count="15">
    <pivotField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2">
        <item h="1" x="0"/>
        <item h="1" x="1"/>
        <item h="1" x="2"/>
        <item h="1" x="4"/>
        <item x="7"/>
        <item x="8"/>
        <item x="3"/>
        <item x="5"/>
        <item h="1" x="6"/>
        <item h="1" x="9"/>
        <item h="1" x="10"/>
        <item t="default"/>
      </items>
    </pivotField>
    <pivotField showAll="0">
      <items count="9">
        <item x="5"/>
        <item x="1"/>
        <item x="3"/>
        <item x="6"/>
        <item x="4"/>
        <item x="0"/>
        <item x="2"/>
        <item x="7"/>
        <item t="default"/>
      </items>
    </pivotField>
    <pivotField showAll="0"/>
    <pivotField showAll="0"/>
    <pivotField showAll="0"/>
    <pivotField showAll="0">
      <items count="16">
        <item x="13"/>
        <item x="0"/>
        <item x="8"/>
        <item x="7"/>
        <item x="3"/>
        <item x="1"/>
        <item x="12"/>
        <item x="14"/>
        <item x="6"/>
        <item x="9"/>
        <item x="2"/>
        <item x="10"/>
        <item x="5"/>
        <item x="4"/>
        <item x="11"/>
        <item t="default"/>
      </items>
    </pivotField>
    <pivotField showAll="0"/>
    <pivotField showAll="0"/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</pivotFields>
  <rowFields count="1">
    <field x="5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Ventas" fld="13" baseField="5" baseItem="0"/>
  </dataFields>
  <pivotTableStyleInfo name="PivotStyleLight16" showRowHeaders="1" showColHeaders="1" showRowStripes="0" showColStripes="0" showLastColumn="1"/>
  <filters count="1">
    <filter fld="1" type="dateBetween" evalOrder="-1" id="11" name="Fecha">
      <autoFilter ref="A1">
        <filterColumn colId="0">
          <customFilters and="1">
            <customFilter operator="greaterThanOrEqual" val="43862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A8EA8F29-64F1-42F8-92D3-0AD0A15ABCFA}" sourceName="Provincia">
  <pivotTables>
    <pivotTable tabId="5" name="TablaDinámica6"/>
    <pivotTable tabId="5" name="TablaDinámica8"/>
    <pivotTable tabId="5" name="TablaDinámica7"/>
    <pivotTable tabId="5" name="TablaDinámica9"/>
    <pivotTable tabId="5" name="TablaDinámica10"/>
    <pivotTable tabId="7" name="TablaDinámica2"/>
    <pivotTable tabId="7" name="TablaDinámica1"/>
    <pivotTable tabId="7" name="TablaDinámica3"/>
    <pivotTable tabId="7" name="TablaDinámica5"/>
    <pivotTable tabId="7" name="TablaDinámica4"/>
  </pivotTables>
  <data>
    <tabular pivotCacheId="1521205773">
      <items count="11">
        <i x="0"/>
        <i x="1"/>
        <i x="2"/>
        <i x="4"/>
        <i x="7" s="1"/>
        <i x="8" s="1"/>
        <i x="3" s="1"/>
        <i x="5" s="1"/>
        <i x="6"/>
        <i x="9"/>
        <i x="1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9B01B00A-216F-4078-AFF4-5771DD5C0F03}" sourceName="Vendedor">
  <pivotTables>
    <pivotTable tabId="5" name="TablaDinámica6"/>
    <pivotTable tabId="5" name="TablaDinámica8"/>
    <pivotTable tabId="5" name="TablaDinámica7"/>
    <pivotTable tabId="5" name="TablaDinámica9"/>
    <pivotTable tabId="5" name="TablaDinámica10"/>
    <pivotTable tabId="7" name="TablaDinámica2"/>
    <pivotTable tabId="7" name="TablaDinámica3"/>
    <pivotTable tabId="7" name="TablaDinámica5"/>
    <pivotTable tabId="7" name="TablaDinámica4"/>
  </pivotTables>
  <data>
    <tabular pivotCacheId="1521205773">
      <items count="8">
        <i x="3" s="1"/>
        <i x="6" s="1"/>
        <i x="4" s="1"/>
        <i x="2" s="1"/>
        <i x="7" s="1"/>
        <i x="5" s="1" nd="1"/>
        <i x="1" s="1" nd="1"/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27463D0C-84F7-4423-9BE6-E22F7595727B}" sourceName="Categoría">
  <pivotTables>
    <pivotTable tabId="5" name="TablaDinámica6"/>
    <pivotTable tabId="5" name="TablaDinámica8"/>
    <pivotTable tabId="5" name="TablaDinámica7"/>
    <pivotTable tabId="5" name="TablaDinámica9"/>
    <pivotTable tabId="5" name="TablaDinámica10"/>
  </pivotTables>
  <data>
    <tabular pivotCacheId="1521205773">
      <items count="15">
        <i x="0" s="1"/>
        <i x="7" s="1"/>
        <i x="3" s="1"/>
        <i x="1" s="1"/>
        <i x="12" s="1"/>
        <i x="6" s="1"/>
        <i x="9" s="1"/>
        <i x="2" s="1"/>
        <i x="10" s="1"/>
        <i x="5" s="1"/>
        <i x="4" s="1"/>
        <i x="11" s="1"/>
        <i x="13" s="1" nd="1"/>
        <i x="8" s="1" nd="1"/>
        <i x="1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1" xr10:uid="{A054B4B9-A5F1-4E5F-836C-C7760F47419E}" sourceName="Vendedor">
  <pivotTables>
    <pivotTable tabId="7" name="TablaDinámica1"/>
  </pivotTables>
  <data>
    <tabular pivotCacheId="1521205773">
      <items count="8">
        <i x="3" s="1"/>
        <i x="6" s="1"/>
        <i x="4" s="1"/>
        <i x="2" s="1"/>
        <i x="7" s="1"/>
        <i x="5" s="1" nd="1"/>
        <i x="1" s="1" nd="1"/>
        <i x="0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1" xr10:uid="{39A1CEA0-B4B3-4561-8CEB-501B099BDA55}" sourceName="Categoría">
  <pivotTables>
    <pivotTable tabId="7" name="TablaDinámica1"/>
    <pivotTable tabId="7" name="TablaDinámica2"/>
    <pivotTable tabId="7" name="TablaDinámica3"/>
    <pivotTable tabId="7" name="TablaDinámica5"/>
    <pivotTable tabId="7" name="TablaDinámica4"/>
  </pivotTables>
  <data>
    <tabular pivotCacheId="1521205773">
      <items count="15">
        <i x="0" s="1"/>
        <i x="7"/>
        <i x="3"/>
        <i x="1"/>
        <i x="12"/>
        <i x="6"/>
        <i x="9"/>
        <i x="2"/>
        <i x="10"/>
        <i x="5"/>
        <i x="4"/>
        <i x="11"/>
        <i x="13" nd="1"/>
        <i x="8" nd="1"/>
        <i x="1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 1" xr10:uid="{382DF1A8-DCBB-412E-868B-31E2CEB618E4}" cache="SegmentaciónDeDatos_Provincia" caption="Provincia" startItem="3" style="SlicerStyleDark1" rowHeight="234950"/>
  <slicer name="Vendedor 1" xr10:uid="{82B449DE-8E8D-4639-ADF6-DEAA3FFB18FF}" cache="SegmentaciónDeDatos_Vendedor1" caption="Vendedor" style="SlicerStyleDark1" rowHeight="234950"/>
  <slicer name="Categoría 1" xr10:uid="{9CE49393-3197-4237-9F0C-5BDF874F790C}" cache="SegmentaciónDeDatos_Categoría1" caption="Categoría" style="SlicerStyleDark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" xr10:uid="{F3BB68AF-3DCA-4BD0-8AB4-B4F8F56B53A7}" cache="SegmentaciónDeDatos_Provincia" caption="Provincia" style="SlicerStyleDark1" rowHeight="239281"/>
  <slicer name="Vendedor" xr10:uid="{05624121-B82C-4FD3-B8A0-94CFDF20C087}" cache="SegmentaciónDeDatos_Vendedor" caption="Vendedor" style="SlicerStyleDark1" rowHeight="239281"/>
  <slicer name="Categoría" xr10:uid="{6E2258EE-803C-4657-ABA1-47B4607A2F3D}" cache="SegmentaciónDeDatos_Categoría" caption="Categoría" style="SlicerStyleDark1" rowHeight="239281"/>
</slicers>
</file>

<file path=xl/theme/theme1.xml><?xml version="1.0" encoding="utf-8"?>
<a:theme xmlns:a="http://schemas.openxmlformats.org/drawingml/2006/main" name="Tema de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6D686A08-F345-4197-862A-3E786EA87EB6}" sourceName="Fecha">
  <pivotTables>
    <pivotTable tabId="5" name="TablaDinámica6"/>
    <pivotTable tabId="5" name="TablaDinámica8"/>
    <pivotTable tabId="5" name="TablaDinámica7"/>
    <pivotTable tabId="5" name="TablaDinámica9"/>
    <pivotTable tabId="5" name="TablaDinámica10"/>
    <pivotTable tabId="7" name="TablaDinámica2"/>
    <pivotTable tabId="7" name="TablaDinámica1"/>
    <pivotTable tabId="7" name="TablaDinámica3"/>
    <pivotTable tabId="7" name="TablaDinámica5"/>
    <pivotTable tabId="7" name="TablaDinámica4"/>
  </pivotTables>
  <state minimalRefreshVersion="6" lastRefreshVersion="6" pivotCacheId="1521205773" filterType="dateBetween">
    <selection startDate="2020-02-01T00:00:00" endDate="2020-02-29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1A54031D-FB65-4B50-BCDF-3CFA747EFD11}" cache="NativeTimeline_Fecha" caption="Fecha" level="2" selectionLevel="2" scrollPosition="2020-01-01T00:00:00" style="Estilo de escala de tiempo 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4F37DA0B-4172-416D-B5BC-ABD95837E334}" cache="NativeTimeline_Fecha" caption="Fecha" level="2" selectionLevel="2" scrollPosition="2020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CF9-529E-4DE2-818A-23E9635F26D7}">
  <dimension ref="B2:O371"/>
  <sheetViews>
    <sheetView topLeftCell="B2" workbookViewId="0">
      <selection activeCell="E12" sqref="E12"/>
    </sheetView>
  </sheetViews>
  <sheetFormatPr baseColWidth="10" defaultColWidth="10.77734375" defaultRowHeight="14.4"/>
  <cols>
    <col min="1" max="1" width="4.33203125" customWidth="1"/>
    <col min="2" max="2" width="6.33203125" customWidth="1"/>
    <col min="3" max="3" width="10.33203125" style="1" bestFit="1" customWidth="1"/>
    <col min="4" max="4" width="12" customWidth="1"/>
    <col min="5" max="5" width="13.6640625" bestFit="1" customWidth="1"/>
    <col min="6" max="6" width="15.44140625" bestFit="1" customWidth="1"/>
    <col min="7" max="7" width="16.6640625" customWidth="1"/>
    <col min="8" max="9" width="21.109375" bestFit="1" customWidth="1"/>
    <col min="10" max="10" width="15.33203125" bestFit="1" customWidth="1"/>
    <col min="11" max="11" width="21.77734375" bestFit="1" customWidth="1"/>
    <col min="12" max="12" width="18.44140625" bestFit="1" customWidth="1"/>
    <col min="13" max="13" width="10.6640625" style="2" customWidth="1"/>
    <col min="14" max="14" width="9.77734375" style="2" customWidth="1"/>
    <col min="15" max="15" width="11.109375" style="2" customWidth="1"/>
    <col min="16" max="16" width="15.77734375" bestFit="1" customWidth="1"/>
    <col min="19" max="19" width="22.44140625" bestFit="1" customWidth="1"/>
  </cols>
  <sheetData>
    <row r="2" spans="2:15" s="3" customFormat="1" ht="30" customHeight="1">
      <c r="B2" s="3" t="s">
        <v>73</v>
      </c>
      <c r="C2" s="4" t="s">
        <v>74</v>
      </c>
      <c r="D2" s="3" t="s">
        <v>79</v>
      </c>
      <c r="E2" s="3" t="s">
        <v>100</v>
      </c>
      <c r="F2" s="3" t="s">
        <v>0</v>
      </c>
      <c r="G2" s="3" t="s">
        <v>75</v>
      </c>
      <c r="H2" s="3" t="s">
        <v>1</v>
      </c>
      <c r="I2" s="3" t="s">
        <v>76</v>
      </c>
      <c r="J2" s="3" t="s">
        <v>2</v>
      </c>
      <c r="K2" s="3" t="s">
        <v>77</v>
      </c>
      <c r="L2" s="3" t="s">
        <v>3</v>
      </c>
      <c r="M2" s="5" t="s">
        <v>78</v>
      </c>
      <c r="N2" s="5" t="s">
        <v>4</v>
      </c>
      <c r="O2" s="5" t="s">
        <v>104</v>
      </c>
    </row>
    <row r="3" spans="2:15">
      <c r="B3">
        <v>1</v>
      </c>
      <c r="C3" s="1">
        <v>43930</v>
      </c>
      <c r="D3">
        <v>9259377217</v>
      </c>
      <c r="E3" t="s">
        <v>6</v>
      </c>
      <c r="F3" t="s">
        <v>80</v>
      </c>
      <c r="G3" t="s">
        <v>95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2">
        <v>14</v>
      </c>
      <c r="N3" s="2">
        <v>10</v>
      </c>
      <c r="O3" s="2">
        <f>BaseDeDatos!$M3*BaseDeDatos!$N3</f>
        <v>140</v>
      </c>
    </row>
    <row r="4" spans="2:15">
      <c r="B4">
        <v>2</v>
      </c>
      <c r="C4" s="1">
        <v>44068</v>
      </c>
      <c r="D4">
        <v>6185253419</v>
      </c>
      <c r="E4" t="s">
        <v>6</v>
      </c>
      <c r="F4" t="s">
        <v>80</v>
      </c>
      <c r="G4" t="s">
        <v>95</v>
      </c>
      <c r="H4" t="s">
        <v>7</v>
      </c>
      <c r="I4" t="s">
        <v>8</v>
      </c>
      <c r="J4" t="s">
        <v>9</v>
      </c>
      <c r="K4" t="s">
        <v>12</v>
      </c>
      <c r="L4" t="s">
        <v>13</v>
      </c>
      <c r="M4" s="2">
        <v>34</v>
      </c>
      <c r="N4" s="2">
        <v>1</v>
      </c>
      <c r="O4" s="2">
        <f>BaseDeDatos!$M4*BaseDeDatos!$N4</f>
        <v>34</v>
      </c>
    </row>
    <row r="5" spans="2:15">
      <c r="B5">
        <v>3</v>
      </c>
      <c r="C5" s="1">
        <v>43908</v>
      </c>
      <c r="D5">
        <v>2308885942</v>
      </c>
      <c r="E5" t="s">
        <v>14</v>
      </c>
      <c r="F5" t="s">
        <v>81</v>
      </c>
      <c r="G5" t="s">
        <v>94</v>
      </c>
      <c r="H5" t="s">
        <v>15</v>
      </c>
      <c r="I5" t="s">
        <v>16</v>
      </c>
      <c r="J5" t="s">
        <v>17</v>
      </c>
      <c r="K5" t="s">
        <v>18</v>
      </c>
      <c r="L5" t="s">
        <v>13</v>
      </c>
      <c r="M5" s="2">
        <v>14</v>
      </c>
      <c r="N5" s="2">
        <v>57</v>
      </c>
      <c r="O5" s="2">
        <f>BaseDeDatos!$M5*BaseDeDatos!$N5</f>
        <v>798</v>
      </c>
    </row>
    <row r="6" spans="2:15">
      <c r="B6">
        <v>4</v>
      </c>
      <c r="C6" s="1">
        <v>43974</v>
      </c>
      <c r="D6">
        <v>6199717898</v>
      </c>
      <c r="E6" t="s">
        <v>14</v>
      </c>
      <c r="F6" t="s">
        <v>81</v>
      </c>
      <c r="G6" t="s">
        <v>94</v>
      </c>
      <c r="H6" t="s">
        <v>15</v>
      </c>
      <c r="I6" t="s">
        <v>16</v>
      </c>
      <c r="J6" t="s">
        <v>17</v>
      </c>
      <c r="K6" t="s">
        <v>19</v>
      </c>
      <c r="L6" t="s">
        <v>13</v>
      </c>
      <c r="M6" s="2">
        <v>16</v>
      </c>
      <c r="N6" s="2">
        <v>72</v>
      </c>
      <c r="O6" s="2">
        <f>BaseDeDatos!$M6*BaseDeDatos!$N6</f>
        <v>1152</v>
      </c>
    </row>
    <row r="7" spans="2:15">
      <c r="B7">
        <v>5</v>
      </c>
      <c r="C7" s="1">
        <v>43944</v>
      </c>
      <c r="D7">
        <v>5540683029</v>
      </c>
      <c r="E7" t="s">
        <v>14</v>
      </c>
      <c r="F7" t="s">
        <v>81</v>
      </c>
      <c r="G7" t="s">
        <v>94</v>
      </c>
      <c r="H7" t="s">
        <v>15</v>
      </c>
      <c r="I7" t="s">
        <v>16</v>
      </c>
      <c r="J7" t="s">
        <v>17</v>
      </c>
      <c r="K7" t="s">
        <v>12</v>
      </c>
      <c r="L7" t="s">
        <v>13</v>
      </c>
      <c r="M7" s="2">
        <v>12</v>
      </c>
      <c r="N7" s="2">
        <v>68</v>
      </c>
      <c r="O7" s="2">
        <f>BaseDeDatos!$M7*BaseDeDatos!$N7</f>
        <v>816</v>
      </c>
    </row>
    <row r="8" spans="2:15">
      <c r="B8">
        <v>6</v>
      </c>
      <c r="C8" s="1">
        <v>44184</v>
      </c>
      <c r="D8">
        <v>6343955045</v>
      </c>
      <c r="E8" t="s">
        <v>20</v>
      </c>
      <c r="F8" t="s">
        <v>80</v>
      </c>
      <c r="G8" t="s">
        <v>95</v>
      </c>
      <c r="H8" t="s">
        <v>7</v>
      </c>
      <c r="I8" t="s">
        <v>8</v>
      </c>
      <c r="J8" t="s">
        <v>17</v>
      </c>
      <c r="K8" t="s">
        <v>21</v>
      </c>
      <c r="L8" t="s">
        <v>11</v>
      </c>
      <c r="M8" s="2">
        <v>22</v>
      </c>
      <c r="N8" s="2">
        <v>29</v>
      </c>
      <c r="O8" s="2">
        <f>BaseDeDatos!$M8*BaseDeDatos!$N8</f>
        <v>638</v>
      </c>
    </row>
    <row r="9" spans="2:15">
      <c r="B9">
        <v>7</v>
      </c>
      <c r="C9" s="1">
        <v>44133</v>
      </c>
      <c r="D9">
        <v>1572125717</v>
      </c>
      <c r="E9" t="s">
        <v>20</v>
      </c>
      <c r="F9" t="s">
        <v>80</v>
      </c>
      <c r="G9" t="s">
        <v>95</v>
      </c>
      <c r="H9" t="s">
        <v>7</v>
      </c>
      <c r="I9" t="s">
        <v>8</v>
      </c>
      <c r="J9" t="s">
        <v>17</v>
      </c>
      <c r="K9" t="s">
        <v>22</v>
      </c>
      <c r="L9" t="s">
        <v>11</v>
      </c>
      <c r="M9" s="2">
        <v>42</v>
      </c>
      <c r="N9" s="2">
        <v>41</v>
      </c>
      <c r="O9" s="2">
        <f>BaseDeDatos!$M9*BaseDeDatos!$N9</f>
        <v>1722</v>
      </c>
    </row>
    <row r="10" spans="2:15">
      <c r="B10">
        <v>8</v>
      </c>
      <c r="C10" s="1">
        <v>43863</v>
      </c>
      <c r="D10">
        <v>3776895536</v>
      </c>
      <c r="E10" t="s">
        <v>23</v>
      </c>
      <c r="F10" t="s">
        <v>86</v>
      </c>
      <c r="G10" t="s">
        <v>82</v>
      </c>
      <c r="H10" t="s">
        <v>24</v>
      </c>
      <c r="I10" t="s">
        <v>25</v>
      </c>
      <c r="J10" t="s">
        <v>17</v>
      </c>
      <c r="K10" t="s">
        <v>26</v>
      </c>
      <c r="L10" t="s">
        <v>27</v>
      </c>
      <c r="M10" s="2">
        <v>11</v>
      </c>
      <c r="N10" s="2">
        <v>18</v>
      </c>
      <c r="O10" s="2">
        <f>BaseDeDatos!$M10*BaseDeDatos!$N10</f>
        <v>198</v>
      </c>
    </row>
    <row r="11" spans="2:15">
      <c r="B11">
        <v>9</v>
      </c>
      <c r="C11" s="1">
        <v>44158</v>
      </c>
      <c r="D11">
        <v>390733860</v>
      </c>
      <c r="E11" t="s">
        <v>14</v>
      </c>
      <c r="F11" t="s">
        <v>81</v>
      </c>
      <c r="G11" t="s">
        <v>94</v>
      </c>
      <c r="H11" t="s">
        <v>15</v>
      </c>
      <c r="I11" t="s">
        <v>25</v>
      </c>
      <c r="J11" t="s">
        <v>9</v>
      </c>
      <c r="K11" t="s">
        <v>26</v>
      </c>
      <c r="L11" t="s">
        <v>27</v>
      </c>
      <c r="M11" s="2">
        <v>29</v>
      </c>
      <c r="N11" s="2">
        <v>73</v>
      </c>
      <c r="O11" s="2">
        <f>BaseDeDatos!$M11*BaseDeDatos!$N11</f>
        <v>2117</v>
      </c>
    </row>
    <row r="12" spans="2:15">
      <c r="B12">
        <v>10</v>
      </c>
      <c r="C12" s="1">
        <v>43863</v>
      </c>
      <c r="D12">
        <v>2456709195</v>
      </c>
      <c r="E12" t="s">
        <v>28</v>
      </c>
      <c r="F12" t="s">
        <v>89</v>
      </c>
      <c r="G12" t="s">
        <v>84</v>
      </c>
      <c r="H12" t="s">
        <v>29</v>
      </c>
      <c r="I12" t="s">
        <v>8</v>
      </c>
      <c r="J12" t="s">
        <v>9</v>
      </c>
      <c r="K12" t="s">
        <v>30</v>
      </c>
      <c r="L12" t="s">
        <v>31</v>
      </c>
      <c r="M12" s="2">
        <v>12</v>
      </c>
      <c r="N12" s="2">
        <v>79</v>
      </c>
      <c r="O12" s="2">
        <f>BaseDeDatos!$M12*BaseDeDatos!$N12</f>
        <v>948</v>
      </c>
    </row>
    <row r="13" spans="2:15">
      <c r="B13">
        <v>11</v>
      </c>
      <c r="C13" s="1">
        <v>43999</v>
      </c>
      <c r="D13">
        <v>5766090086</v>
      </c>
      <c r="E13" t="s">
        <v>32</v>
      </c>
      <c r="F13" t="s">
        <v>93</v>
      </c>
      <c r="G13" t="s">
        <v>96</v>
      </c>
      <c r="H13" t="s">
        <v>7</v>
      </c>
      <c r="I13" t="s">
        <v>8</v>
      </c>
      <c r="J13" t="s">
        <v>33</v>
      </c>
      <c r="K13" t="s">
        <v>34</v>
      </c>
      <c r="L13" t="s">
        <v>35</v>
      </c>
      <c r="M13" s="2">
        <v>28</v>
      </c>
      <c r="N13" s="2">
        <v>37</v>
      </c>
      <c r="O13" s="2">
        <f>BaseDeDatos!$M13*BaseDeDatos!$N13</f>
        <v>1036</v>
      </c>
    </row>
    <row r="14" spans="2:15">
      <c r="B14">
        <v>12</v>
      </c>
      <c r="C14" s="1">
        <v>44045</v>
      </c>
      <c r="D14">
        <v>4872781256</v>
      </c>
      <c r="E14" t="s">
        <v>36</v>
      </c>
      <c r="F14" t="s">
        <v>92</v>
      </c>
      <c r="G14" t="s">
        <v>99</v>
      </c>
      <c r="H14" t="s">
        <v>37</v>
      </c>
      <c r="I14" t="s">
        <v>8</v>
      </c>
      <c r="J14" t="s">
        <v>17</v>
      </c>
      <c r="K14" t="s">
        <v>38</v>
      </c>
      <c r="L14" t="s">
        <v>39</v>
      </c>
      <c r="M14" s="2">
        <v>33</v>
      </c>
      <c r="N14" s="2">
        <v>64</v>
      </c>
      <c r="O14" s="2">
        <f>BaseDeDatos!$M14*BaseDeDatos!$N14</f>
        <v>2112</v>
      </c>
    </row>
    <row r="15" spans="2:15">
      <c r="B15">
        <v>13</v>
      </c>
      <c r="C15" s="1">
        <v>43843</v>
      </c>
      <c r="D15">
        <v>4213140599</v>
      </c>
      <c r="E15" t="s">
        <v>40</v>
      </c>
      <c r="F15" t="s">
        <v>97</v>
      </c>
      <c r="G15" t="s">
        <v>88</v>
      </c>
      <c r="H15" t="s">
        <v>41</v>
      </c>
      <c r="I15" t="s">
        <v>25</v>
      </c>
      <c r="J15" t="s">
        <v>9</v>
      </c>
      <c r="K15" t="s">
        <v>22</v>
      </c>
      <c r="L15" t="s">
        <v>11</v>
      </c>
      <c r="M15" s="2">
        <v>21</v>
      </c>
      <c r="N15" s="2">
        <v>96</v>
      </c>
      <c r="O15" s="2">
        <f>BaseDeDatos!$M15*BaseDeDatos!$N15</f>
        <v>2016</v>
      </c>
    </row>
    <row r="16" spans="2:15">
      <c r="B16">
        <v>14</v>
      </c>
      <c r="C16" s="1">
        <v>43861</v>
      </c>
      <c r="D16">
        <v>9433063552</v>
      </c>
      <c r="E16" t="s">
        <v>23</v>
      </c>
      <c r="F16" t="s">
        <v>86</v>
      </c>
      <c r="G16" t="s">
        <v>82</v>
      </c>
      <c r="H16" t="s">
        <v>24</v>
      </c>
      <c r="I16" t="s">
        <v>25</v>
      </c>
      <c r="J16" t="s">
        <v>9</v>
      </c>
      <c r="K16" t="s">
        <v>30</v>
      </c>
      <c r="L16" t="s">
        <v>31</v>
      </c>
      <c r="M16" s="2">
        <v>46</v>
      </c>
      <c r="N16" s="2">
        <v>86</v>
      </c>
      <c r="O16" s="2">
        <f>BaseDeDatos!$M16*BaseDeDatos!$N16</f>
        <v>3956</v>
      </c>
    </row>
    <row r="17" spans="2:15">
      <c r="B17">
        <v>15</v>
      </c>
      <c r="C17" s="1">
        <v>44037</v>
      </c>
      <c r="D17">
        <v>8539365209</v>
      </c>
      <c r="E17" t="s">
        <v>42</v>
      </c>
      <c r="F17" t="s">
        <v>91</v>
      </c>
      <c r="G17" t="s">
        <v>91</v>
      </c>
      <c r="H17" t="s">
        <v>43</v>
      </c>
      <c r="I17" t="s">
        <v>8</v>
      </c>
      <c r="J17" t="s">
        <v>17</v>
      </c>
      <c r="K17" t="s">
        <v>44</v>
      </c>
      <c r="L17" t="s">
        <v>11</v>
      </c>
      <c r="M17" s="2">
        <v>41</v>
      </c>
      <c r="N17" s="2">
        <v>96</v>
      </c>
      <c r="O17" s="2">
        <f>BaseDeDatos!$M17*BaseDeDatos!$N17</f>
        <v>3936</v>
      </c>
    </row>
    <row r="18" spans="2:15">
      <c r="B18">
        <v>16</v>
      </c>
      <c r="C18" s="1">
        <v>44009</v>
      </c>
      <c r="D18">
        <v>6983099686</v>
      </c>
      <c r="E18" t="s">
        <v>45</v>
      </c>
      <c r="F18" t="s">
        <v>87</v>
      </c>
      <c r="G18" t="s">
        <v>87</v>
      </c>
      <c r="H18" t="s">
        <v>24</v>
      </c>
      <c r="K18" t="s">
        <v>22</v>
      </c>
      <c r="L18" t="s">
        <v>11</v>
      </c>
      <c r="M18" s="2">
        <v>45</v>
      </c>
      <c r="N18" s="2">
        <v>97</v>
      </c>
      <c r="O18" s="2">
        <f>BaseDeDatos!$M18*BaseDeDatos!$N18</f>
        <v>4365</v>
      </c>
    </row>
    <row r="19" spans="2:15">
      <c r="B19">
        <v>17</v>
      </c>
      <c r="C19" s="1">
        <v>44065</v>
      </c>
      <c r="D19">
        <v>3008945605</v>
      </c>
      <c r="E19" t="s">
        <v>42</v>
      </c>
      <c r="F19" t="s">
        <v>91</v>
      </c>
      <c r="G19" t="s">
        <v>91</v>
      </c>
      <c r="H19" t="s">
        <v>43</v>
      </c>
      <c r="I19" t="s">
        <v>16</v>
      </c>
      <c r="K19" t="s">
        <v>46</v>
      </c>
      <c r="L19" t="s">
        <v>47</v>
      </c>
      <c r="M19" s="2">
        <v>26</v>
      </c>
      <c r="N19" s="2">
        <v>65</v>
      </c>
      <c r="O19" s="2">
        <f>BaseDeDatos!$M19*BaseDeDatos!$N19</f>
        <v>1690</v>
      </c>
    </row>
    <row r="20" spans="2:15">
      <c r="B20">
        <v>18</v>
      </c>
      <c r="C20" s="1">
        <v>43937</v>
      </c>
      <c r="D20">
        <v>5388305959</v>
      </c>
      <c r="E20" t="s">
        <v>42</v>
      </c>
      <c r="F20" t="s">
        <v>91</v>
      </c>
      <c r="G20" t="s">
        <v>91</v>
      </c>
      <c r="H20" t="s">
        <v>43</v>
      </c>
      <c r="I20" t="s">
        <v>16</v>
      </c>
      <c r="K20" t="s">
        <v>48</v>
      </c>
      <c r="L20" t="s">
        <v>49</v>
      </c>
      <c r="M20" s="2">
        <v>40</v>
      </c>
      <c r="N20" s="2">
        <v>88</v>
      </c>
      <c r="O20" s="2">
        <f>BaseDeDatos!$M20*BaseDeDatos!$N20</f>
        <v>3520</v>
      </c>
    </row>
    <row r="21" spans="2:15">
      <c r="B21">
        <v>19</v>
      </c>
      <c r="C21" s="1">
        <v>44172</v>
      </c>
      <c r="D21">
        <v>438272084</v>
      </c>
      <c r="E21" t="s">
        <v>42</v>
      </c>
      <c r="F21" t="s">
        <v>91</v>
      </c>
      <c r="G21" t="s">
        <v>91</v>
      </c>
      <c r="H21" t="s">
        <v>43</v>
      </c>
      <c r="I21" t="s">
        <v>16</v>
      </c>
      <c r="K21" t="s">
        <v>26</v>
      </c>
      <c r="L21" t="s">
        <v>27</v>
      </c>
      <c r="M21" s="2">
        <v>12</v>
      </c>
      <c r="N21" s="2">
        <v>60</v>
      </c>
      <c r="O21" s="2">
        <f>BaseDeDatos!$M21*BaseDeDatos!$N21</f>
        <v>720</v>
      </c>
    </row>
    <row r="22" spans="2:15">
      <c r="B22">
        <v>20</v>
      </c>
      <c r="C22" s="1">
        <v>43875</v>
      </c>
      <c r="D22">
        <v>2536792311</v>
      </c>
      <c r="E22" t="s">
        <v>50</v>
      </c>
      <c r="F22" t="s">
        <v>85</v>
      </c>
      <c r="G22" t="s">
        <v>83</v>
      </c>
      <c r="H22" t="s">
        <v>41</v>
      </c>
      <c r="I22" t="s">
        <v>25</v>
      </c>
      <c r="K22" t="s">
        <v>12</v>
      </c>
      <c r="L22" t="s">
        <v>13</v>
      </c>
      <c r="M22" s="2">
        <v>35</v>
      </c>
      <c r="N22" s="2">
        <v>96</v>
      </c>
      <c r="O22" s="2">
        <f>BaseDeDatos!$M22*BaseDeDatos!$N22</f>
        <v>3360</v>
      </c>
    </row>
    <row r="23" spans="2:15">
      <c r="B23">
        <v>21</v>
      </c>
      <c r="C23" s="1">
        <v>44138</v>
      </c>
      <c r="D23">
        <v>7813757711</v>
      </c>
      <c r="E23" t="s">
        <v>50</v>
      </c>
      <c r="F23" t="s">
        <v>85</v>
      </c>
      <c r="G23" t="s">
        <v>83</v>
      </c>
      <c r="H23" t="s">
        <v>41</v>
      </c>
      <c r="I23" t="s">
        <v>25</v>
      </c>
      <c r="K23" t="s">
        <v>44</v>
      </c>
      <c r="L23" t="s">
        <v>11</v>
      </c>
      <c r="M23" s="2">
        <v>20</v>
      </c>
      <c r="N23" s="2">
        <v>50</v>
      </c>
      <c r="O23" s="2">
        <f>BaseDeDatos!$M23*BaseDeDatos!$N23</f>
        <v>1000</v>
      </c>
    </row>
    <row r="24" spans="2:15">
      <c r="B24">
        <v>22</v>
      </c>
      <c r="C24" s="1">
        <v>43918</v>
      </c>
      <c r="D24">
        <v>4786931679</v>
      </c>
      <c r="E24" t="s">
        <v>51</v>
      </c>
      <c r="F24" t="s">
        <v>90</v>
      </c>
      <c r="G24" t="s">
        <v>98</v>
      </c>
      <c r="H24" t="s">
        <v>24</v>
      </c>
      <c r="K24" t="s">
        <v>21</v>
      </c>
      <c r="L24" t="s">
        <v>11</v>
      </c>
      <c r="M24" s="2">
        <v>50</v>
      </c>
      <c r="N24" s="2">
        <v>75</v>
      </c>
      <c r="O24" s="2">
        <f>BaseDeDatos!$M24*BaseDeDatos!$N24</f>
        <v>3750</v>
      </c>
    </row>
    <row r="25" spans="2:15">
      <c r="B25">
        <v>23</v>
      </c>
      <c r="C25" s="1">
        <v>44039</v>
      </c>
      <c r="D25">
        <v>3021659728</v>
      </c>
      <c r="E25" t="s">
        <v>51</v>
      </c>
      <c r="F25" t="s">
        <v>90</v>
      </c>
      <c r="G25" t="s">
        <v>98</v>
      </c>
      <c r="H25" t="s">
        <v>24</v>
      </c>
      <c r="K25" t="s">
        <v>22</v>
      </c>
      <c r="L25" t="s">
        <v>11</v>
      </c>
      <c r="M25" s="2">
        <v>21</v>
      </c>
      <c r="N25" s="2">
        <v>4</v>
      </c>
      <c r="O25" s="2">
        <f>BaseDeDatos!$M25*BaseDeDatos!$N25</f>
        <v>84</v>
      </c>
    </row>
    <row r="26" spans="2:15">
      <c r="B26">
        <v>24</v>
      </c>
      <c r="C26" s="1">
        <v>43993</v>
      </c>
      <c r="D26">
        <v>2591950684</v>
      </c>
      <c r="E26" t="s">
        <v>51</v>
      </c>
      <c r="F26" t="s">
        <v>90</v>
      </c>
      <c r="G26" t="s">
        <v>98</v>
      </c>
      <c r="H26" t="s">
        <v>24</v>
      </c>
      <c r="K26" t="s">
        <v>44</v>
      </c>
      <c r="L26" t="s">
        <v>11</v>
      </c>
      <c r="M26" s="2">
        <v>43</v>
      </c>
      <c r="N26" s="2">
        <v>18</v>
      </c>
      <c r="O26" s="2">
        <f>BaseDeDatos!$M26*BaseDeDatos!$N26</f>
        <v>774</v>
      </c>
    </row>
    <row r="27" spans="2:15">
      <c r="B27">
        <v>25</v>
      </c>
      <c r="C27" s="1">
        <v>43885</v>
      </c>
      <c r="D27">
        <v>9326361454</v>
      </c>
      <c r="E27" t="s">
        <v>40</v>
      </c>
      <c r="F27" t="s">
        <v>97</v>
      </c>
      <c r="G27" t="s">
        <v>88</v>
      </c>
      <c r="H27" t="s">
        <v>41</v>
      </c>
      <c r="I27" t="s">
        <v>25</v>
      </c>
      <c r="J27" t="s">
        <v>17</v>
      </c>
      <c r="K27" t="s">
        <v>34</v>
      </c>
      <c r="L27" t="s">
        <v>35</v>
      </c>
      <c r="M27" s="2">
        <v>26</v>
      </c>
      <c r="N27" s="2">
        <v>49</v>
      </c>
      <c r="O27" s="2">
        <f>BaseDeDatos!$M27*BaseDeDatos!$N27</f>
        <v>1274</v>
      </c>
    </row>
    <row r="28" spans="2:15">
      <c r="B28">
        <v>26</v>
      </c>
      <c r="C28" s="1">
        <v>44055</v>
      </c>
      <c r="D28">
        <v>3769138349</v>
      </c>
      <c r="E28" t="s">
        <v>40</v>
      </c>
      <c r="F28" t="s">
        <v>97</v>
      </c>
      <c r="G28" t="s">
        <v>88</v>
      </c>
      <c r="H28" t="s">
        <v>41</v>
      </c>
      <c r="I28" t="s">
        <v>25</v>
      </c>
      <c r="J28" t="s">
        <v>17</v>
      </c>
      <c r="K28" t="s">
        <v>52</v>
      </c>
      <c r="L28" t="s">
        <v>53</v>
      </c>
      <c r="M28" s="2">
        <v>39</v>
      </c>
      <c r="N28" s="2">
        <v>21</v>
      </c>
      <c r="O28" s="2">
        <f>BaseDeDatos!$M28*BaseDeDatos!$N28</f>
        <v>819</v>
      </c>
    </row>
    <row r="29" spans="2:15">
      <c r="B29">
        <v>27</v>
      </c>
      <c r="C29" s="1">
        <v>43908</v>
      </c>
      <c r="D29">
        <v>5871657714</v>
      </c>
      <c r="E29" t="s">
        <v>54</v>
      </c>
      <c r="F29" t="s">
        <v>89</v>
      </c>
      <c r="G29" t="s">
        <v>84</v>
      </c>
      <c r="H29" t="s">
        <v>55</v>
      </c>
      <c r="I29" t="s">
        <v>16</v>
      </c>
      <c r="J29" t="s">
        <v>9</v>
      </c>
      <c r="K29" t="s">
        <v>56</v>
      </c>
      <c r="L29" t="s">
        <v>57</v>
      </c>
      <c r="M29" s="2">
        <v>33</v>
      </c>
      <c r="N29" s="2">
        <v>8</v>
      </c>
      <c r="O29" s="2">
        <f>BaseDeDatos!$M29*BaseDeDatos!$N29</f>
        <v>264</v>
      </c>
    </row>
    <row r="30" spans="2:15">
      <c r="B30">
        <v>28</v>
      </c>
      <c r="C30" s="1">
        <v>43965</v>
      </c>
      <c r="D30">
        <v>1534553307</v>
      </c>
      <c r="E30" t="s">
        <v>54</v>
      </c>
      <c r="F30" t="s">
        <v>89</v>
      </c>
      <c r="G30" t="s">
        <v>84</v>
      </c>
      <c r="H30" t="s">
        <v>55</v>
      </c>
      <c r="I30" t="s">
        <v>16</v>
      </c>
      <c r="J30" t="s">
        <v>9</v>
      </c>
      <c r="K30" t="s">
        <v>58</v>
      </c>
      <c r="L30" t="s">
        <v>59</v>
      </c>
      <c r="M30" s="2">
        <v>46</v>
      </c>
      <c r="N30" s="2">
        <v>82</v>
      </c>
      <c r="O30" s="2">
        <f>BaseDeDatos!$M30*BaseDeDatos!$N30</f>
        <v>3772</v>
      </c>
    </row>
    <row r="31" spans="2:15">
      <c r="B31">
        <v>29</v>
      </c>
      <c r="C31" s="1">
        <v>44146</v>
      </c>
      <c r="D31">
        <v>8474620707</v>
      </c>
      <c r="E31" t="s">
        <v>36</v>
      </c>
      <c r="F31" t="s">
        <v>92</v>
      </c>
      <c r="G31" t="s">
        <v>99</v>
      </c>
      <c r="H31" t="s">
        <v>37</v>
      </c>
      <c r="I31" t="s">
        <v>8</v>
      </c>
      <c r="J31" t="s">
        <v>17</v>
      </c>
      <c r="K31" t="s">
        <v>10</v>
      </c>
      <c r="L31" t="s">
        <v>11</v>
      </c>
      <c r="M31" s="2">
        <v>32</v>
      </c>
      <c r="N31" s="2">
        <v>75</v>
      </c>
      <c r="O31" s="2">
        <f>BaseDeDatos!$M31*BaseDeDatos!$N31</f>
        <v>2400</v>
      </c>
    </row>
    <row r="32" spans="2:15">
      <c r="B32">
        <v>30</v>
      </c>
      <c r="C32" s="1">
        <v>44144</v>
      </c>
      <c r="D32">
        <v>3530767380</v>
      </c>
      <c r="E32" t="s">
        <v>23</v>
      </c>
      <c r="F32" t="s">
        <v>86</v>
      </c>
      <c r="G32" t="s">
        <v>82</v>
      </c>
      <c r="H32" t="s">
        <v>24</v>
      </c>
      <c r="I32" t="s">
        <v>8</v>
      </c>
      <c r="J32" t="s">
        <v>9</v>
      </c>
      <c r="K32" t="s">
        <v>38</v>
      </c>
      <c r="L32" t="s">
        <v>39</v>
      </c>
      <c r="M32" s="2">
        <v>34</v>
      </c>
      <c r="N32" s="2">
        <v>3</v>
      </c>
      <c r="O32" s="2">
        <f>BaseDeDatos!$M32*BaseDeDatos!$N32</f>
        <v>102</v>
      </c>
    </row>
    <row r="33" spans="2:15">
      <c r="B33">
        <v>31</v>
      </c>
      <c r="C33" s="1">
        <v>43845</v>
      </c>
      <c r="D33">
        <v>6673950624</v>
      </c>
      <c r="E33" t="s">
        <v>32</v>
      </c>
      <c r="F33" t="s">
        <v>93</v>
      </c>
      <c r="G33" t="s">
        <v>96</v>
      </c>
      <c r="H33" t="s">
        <v>7</v>
      </c>
      <c r="I33" t="s">
        <v>8</v>
      </c>
      <c r="J33" t="s">
        <v>33</v>
      </c>
      <c r="K33" t="s">
        <v>60</v>
      </c>
      <c r="L33" t="s">
        <v>49</v>
      </c>
      <c r="M33" s="2">
        <v>24</v>
      </c>
      <c r="N33" s="2">
        <v>33</v>
      </c>
      <c r="O33" s="2">
        <f>BaseDeDatos!$M33*BaseDeDatos!$N33</f>
        <v>792</v>
      </c>
    </row>
    <row r="34" spans="2:15">
      <c r="B34">
        <v>32</v>
      </c>
      <c r="C34" s="1">
        <v>43967</v>
      </c>
      <c r="D34">
        <v>7137547321</v>
      </c>
      <c r="E34" t="s">
        <v>32</v>
      </c>
      <c r="F34" t="s">
        <v>93</v>
      </c>
      <c r="G34" t="s">
        <v>96</v>
      </c>
      <c r="H34" t="s">
        <v>7</v>
      </c>
      <c r="I34" t="s">
        <v>8</v>
      </c>
      <c r="J34" t="s">
        <v>33</v>
      </c>
      <c r="K34" t="s">
        <v>38</v>
      </c>
      <c r="L34" t="s">
        <v>39</v>
      </c>
      <c r="M34" s="2">
        <v>21</v>
      </c>
      <c r="N34" s="2">
        <v>51</v>
      </c>
      <c r="O34" s="2">
        <f>BaseDeDatos!$M34*BaseDeDatos!$N34</f>
        <v>1071</v>
      </c>
    </row>
    <row r="35" spans="2:15">
      <c r="B35">
        <v>33</v>
      </c>
      <c r="C35" s="1">
        <v>43862</v>
      </c>
      <c r="D35">
        <v>9655985375</v>
      </c>
      <c r="E35" t="s">
        <v>36</v>
      </c>
      <c r="F35" t="s">
        <v>92</v>
      </c>
      <c r="G35" t="s">
        <v>99</v>
      </c>
      <c r="H35" t="s">
        <v>37</v>
      </c>
      <c r="I35" t="s">
        <v>8</v>
      </c>
      <c r="J35" t="s">
        <v>17</v>
      </c>
      <c r="L35" t="s">
        <v>5</v>
      </c>
    </row>
    <row r="36" spans="2:15">
      <c r="B36">
        <v>34</v>
      </c>
      <c r="C36" s="1">
        <v>44167</v>
      </c>
      <c r="D36">
        <v>299812367</v>
      </c>
      <c r="E36" t="s">
        <v>40</v>
      </c>
      <c r="F36" t="s">
        <v>97</v>
      </c>
      <c r="G36" t="s">
        <v>88</v>
      </c>
      <c r="H36" t="s">
        <v>41</v>
      </c>
      <c r="I36" t="s">
        <v>25</v>
      </c>
      <c r="J36" t="s">
        <v>9</v>
      </c>
      <c r="L36" t="s">
        <v>5</v>
      </c>
    </row>
    <row r="37" spans="2:15">
      <c r="B37">
        <v>35</v>
      </c>
      <c r="C37" s="1">
        <v>43870</v>
      </c>
      <c r="D37">
        <v>7779151222</v>
      </c>
      <c r="E37" t="s">
        <v>23</v>
      </c>
      <c r="F37" t="s">
        <v>86</v>
      </c>
      <c r="G37" t="s">
        <v>82</v>
      </c>
      <c r="H37" t="s">
        <v>24</v>
      </c>
      <c r="I37" t="s">
        <v>25</v>
      </c>
      <c r="J37" t="s">
        <v>9</v>
      </c>
      <c r="L37" t="s">
        <v>5</v>
      </c>
    </row>
    <row r="38" spans="2:15">
      <c r="B38">
        <v>36</v>
      </c>
      <c r="C38" s="1">
        <v>44192</v>
      </c>
      <c r="D38">
        <v>9282360094</v>
      </c>
      <c r="E38" t="s">
        <v>42</v>
      </c>
      <c r="F38" t="s">
        <v>91</v>
      </c>
      <c r="G38" t="s">
        <v>91</v>
      </c>
      <c r="H38" t="s">
        <v>43</v>
      </c>
      <c r="I38" t="s">
        <v>8</v>
      </c>
      <c r="J38" t="s">
        <v>17</v>
      </c>
      <c r="K38" t="s">
        <v>61</v>
      </c>
      <c r="L38" t="s">
        <v>13</v>
      </c>
      <c r="M38" s="2">
        <v>140</v>
      </c>
      <c r="N38" s="2">
        <v>47</v>
      </c>
      <c r="O38" s="2">
        <f>BaseDeDatos!$M38*BaseDeDatos!$N38</f>
        <v>6580</v>
      </c>
    </row>
    <row r="39" spans="2:15">
      <c r="B39">
        <v>37</v>
      </c>
      <c r="C39" s="1">
        <v>43982</v>
      </c>
      <c r="D39">
        <v>6935804403</v>
      </c>
      <c r="E39" t="s">
        <v>42</v>
      </c>
      <c r="F39" t="s">
        <v>91</v>
      </c>
      <c r="G39" t="s">
        <v>91</v>
      </c>
      <c r="H39" t="s">
        <v>43</v>
      </c>
      <c r="I39" t="s">
        <v>16</v>
      </c>
      <c r="K39" t="s">
        <v>12</v>
      </c>
      <c r="L39" t="s">
        <v>13</v>
      </c>
      <c r="M39" s="2">
        <v>49</v>
      </c>
      <c r="N39" s="2">
        <v>49</v>
      </c>
      <c r="O39" s="2">
        <f>BaseDeDatos!$M39*BaseDeDatos!$N39</f>
        <v>2401</v>
      </c>
    </row>
    <row r="40" spans="2:15">
      <c r="B40">
        <v>38</v>
      </c>
      <c r="C40" s="1">
        <v>43952</v>
      </c>
      <c r="D40">
        <v>3650322132</v>
      </c>
      <c r="E40" t="s">
        <v>50</v>
      </c>
      <c r="F40" t="s">
        <v>85</v>
      </c>
      <c r="G40" t="s">
        <v>83</v>
      </c>
      <c r="H40" t="s">
        <v>41</v>
      </c>
      <c r="I40" t="s">
        <v>25</v>
      </c>
      <c r="K40" t="s">
        <v>38</v>
      </c>
      <c r="L40" t="s">
        <v>39</v>
      </c>
      <c r="M40" s="2">
        <v>560</v>
      </c>
      <c r="N40" s="2">
        <v>72</v>
      </c>
      <c r="O40" s="2">
        <f>BaseDeDatos!$M40*BaseDeDatos!$N40</f>
        <v>40320</v>
      </c>
    </row>
    <row r="41" spans="2:15">
      <c r="B41">
        <v>39</v>
      </c>
      <c r="C41" s="1">
        <v>43965</v>
      </c>
      <c r="D41">
        <v>1985754250</v>
      </c>
      <c r="E41" t="s">
        <v>51</v>
      </c>
      <c r="F41" t="s">
        <v>90</v>
      </c>
      <c r="G41" t="s">
        <v>98</v>
      </c>
      <c r="H41" t="s">
        <v>24</v>
      </c>
      <c r="I41" t="s">
        <v>25</v>
      </c>
      <c r="K41" t="s">
        <v>52</v>
      </c>
      <c r="L41" t="s">
        <v>53</v>
      </c>
      <c r="M41" s="2">
        <v>257.59999999999997</v>
      </c>
      <c r="N41" s="2">
        <v>13</v>
      </c>
      <c r="O41" s="2">
        <f>BaseDeDatos!$M41*BaseDeDatos!$N41</f>
        <v>3348.7999999999997</v>
      </c>
    </row>
    <row r="42" spans="2:15">
      <c r="B42">
        <v>40</v>
      </c>
      <c r="C42" s="1">
        <v>44090</v>
      </c>
      <c r="D42">
        <v>7293507918</v>
      </c>
      <c r="E42" t="s">
        <v>40</v>
      </c>
      <c r="F42" t="s">
        <v>97</v>
      </c>
      <c r="G42" t="s">
        <v>88</v>
      </c>
      <c r="H42" t="s">
        <v>41</v>
      </c>
      <c r="I42" t="s">
        <v>25</v>
      </c>
      <c r="J42" t="s">
        <v>17</v>
      </c>
      <c r="K42" t="s">
        <v>22</v>
      </c>
      <c r="L42" t="s">
        <v>11</v>
      </c>
      <c r="M42" s="2">
        <v>644</v>
      </c>
      <c r="N42" s="2">
        <v>32</v>
      </c>
      <c r="O42" s="2">
        <f>BaseDeDatos!$M42*BaseDeDatos!$N42</f>
        <v>20608</v>
      </c>
    </row>
    <row r="43" spans="2:15">
      <c r="B43">
        <v>41</v>
      </c>
      <c r="C43" s="1">
        <v>43983</v>
      </c>
      <c r="D43">
        <v>3459323228</v>
      </c>
      <c r="E43" t="s">
        <v>54</v>
      </c>
      <c r="F43" t="s">
        <v>89</v>
      </c>
      <c r="G43" t="s">
        <v>84</v>
      </c>
      <c r="H43" t="s">
        <v>55</v>
      </c>
      <c r="I43" t="s">
        <v>16</v>
      </c>
      <c r="J43" t="s">
        <v>9</v>
      </c>
      <c r="K43" t="s">
        <v>34</v>
      </c>
      <c r="L43" t="s">
        <v>35</v>
      </c>
      <c r="M43" s="2">
        <v>135.1</v>
      </c>
      <c r="N43" s="2">
        <v>27</v>
      </c>
      <c r="O43" s="2">
        <f>BaseDeDatos!$M43*BaseDeDatos!$N43</f>
        <v>3647.7</v>
      </c>
    </row>
    <row r="44" spans="2:15">
      <c r="B44">
        <v>42</v>
      </c>
      <c r="C44" s="1">
        <v>43999</v>
      </c>
      <c r="D44">
        <v>1144627655</v>
      </c>
      <c r="E44" t="s">
        <v>36</v>
      </c>
      <c r="F44" t="s">
        <v>92</v>
      </c>
      <c r="G44" t="s">
        <v>99</v>
      </c>
      <c r="H44" t="s">
        <v>37</v>
      </c>
      <c r="I44" t="s">
        <v>8</v>
      </c>
      <c r="J44" t="s">
        <v>17</v>
      </c>
      <c r="K44" t="s">
        <v>30</v>
      </c>
      <c r="L44" t="s">
        <v>31</v>
      </c>
      <c r="M44" s="2">
        <v>178.5</v>
      </c>
      <c r="N44" s="2">
        <v>71</v>
      </c>
      <c r="O44" s="2">
        <f>BaseDeDatos!$M44*BaseDeDatos!$N44</f>
        <v>12673.5</v>
      </c>
    </row>
    <row r="45" spans="2:15">
      <c r="B45">
        <v>43</v>
      </c>
      <c r="C45" s="1">
        <v>44070</v>
      </c>
      <c r="D45">
        <v>3986713828</v>
      </c>
      <c r="E45" t="s">
        <v>23</v>
      </c>
      <c r="F45" t="s">
        <v>86</v>
      </c>
      <c r="G45" t="s">
        <v>82</v>
      </c>
      <c r="H45" t="s">
        <v>24</v>
      </c>
      <c r="I45" t="s">
        <v>8</v>
      </c>
      <c r="J45" t="s">
        <v>9</v>
      </c>
      <c r="K45" t="s">
        <v>30</v>
      </c>
      <c r="L45" t="s">
        <v>31</v>
      </c>
      <c r="M45" s="2">
        <v>178.5</v>
      </c>
      <c r="N45" s="2">
        <v>13</v>
      </c>
      <c r="O45" s="2">
        <f>BaseDeDatos!$M45*BaseDeDatos!$N45</f>
        <v>2320.5</v>
      </c>
    </row>
    <row r="46" spans="2:15">
      <c r="B46">
        <v>44</v>
      </c>
      <c r="C46" s="1">
        <v>43998</v>
      </c>
      <c r="D46">
        <v>9350633665</v>
      </c>
      <c r="E46" t="s">
        <v>62</v>
      </c>
      <c r="F46" t="s">
        <v>91</v>
      </c>
      <c r="G46" t="s">
        <v>91</v>
      </c>
      <c r="H46" t="s">
        <v>43</v>
      </c>
      <c r="I46" t="s">
        <v>16</v>
      </c>
      <c r="J46" t="s">
        <v>33</v>
      </c>
      <c r="K46" t="s">
        <v>48</v>
      </c>
      <c r="L46" t="s">
        <v>49</v>
      </c>
      <c r="M46" s="2">
        <v>308</v>
      </c>
      <c r="N46" s="2">
        <v>98</v>
      </c>
      <c r="O46" s="2">
        <f>BaseDeDatos!$M46*BaseDeDatos!$N46</f>
        <v>30184</v>
      </c>
    </row>
    <row r="47" spans="2:15">
      <c r="B47">
        <v>45</v>
      </c>
      <c r="C47" s="1">
        <v>44129</v>
      </c>
      <c r="D47">
        <v>4918639925</v>
      </c>
      <c r="E47" t="s">
        <v>63</v>
      </c>
      <c r="F47" t="s">
        <v>85</v>
      </c>
      <c r="G47" t="s">
        <v>83</v>
      </c>
      <c r="H47" t="s">
        <v>41</v>
      </c>
      <c r="I47" t="s">
        <v>25</v>
      </c>
      <c r="J47" t="s">
        <v>17</v>
      </c>
      <c r="K47" t="s">
        <v>46</v>
      </c>
      <c r="L47" t="s">
        <v>47</v>
      </c>
      <c r="M47" s="2">
        <v>350</v>
      </c>
      <c r="N47" s="2">
        <v>21</v>
      </c>
      <c r="O47" s="2">
        <f>BaseDeDatos!$M47*BaseDeDatos!$N47</f>
        <v>7350</v>
      </c>
    </row>
    <row r="48" spans="2:15">
      <c r="B48">
        <v>46</v>
      </c>
      <c r="C48" s="1">
        <v>44165</v>
      </c>
      <c r="D48">
        <v>9630006862</v>
      </c>
      <c r="E48" t="s">
        <v>28</v>
      </c>
      <c r="F48" t="s">
        <v>89</v>
      </c>
      <c r="G48" t="s">
        <v>84</v>
      </c>
      <c r="H48" t="s">
        <v>29</v>
      </c>
      <c r="I48" t="s">
        <v>8</v>
      </c>
      <c r="J48" t="s">
        <v>9</v>
      </c>
      <c r="K48" t="s">
        <v>64</v>
      </c>
      <c r="L48" t="s">
        <v>65</v>
      </c>
      <c r="M48" s="2">
        <v>546</v>
      </c>
      <c r="N48" s="2">
        <v>26</v>
      </c>
      <c r="O48" s="2">
        <f>BaseDeDatos!$M48*BaseDeDatos!$N48</f>
        <v>14196</v>
      </c>
    </row>
    <row r="49" spans="2:15">
      <c r="B49">
        <v>47</v>
      </c>
      <c r="C49" s="1">
        <v>43920</v>
      </c>
      <c r="D49">
        <v>9029002933</v>
      </c>
      <c r="E49" t="s">
        <v>36</v>
      </c>
      <c r="F49" t="s">
        <v>92</v>
      </c>
      <c r="G49" t="s">
        <v>99</v>
      </c>
      <c r="H49" t="s">
        <v>37</v>
      </c>
      <c r="I49" t="s">
        <v>25</v>
      </c>
      <c r="J49" t="s">
        <v>9</v>
      </c>
      <c r="K49" t="s">
        <v>18</v>
      </c>
      <c r="L49" t="s">
        <v>13</v>
      </c>
      <c r="M49" s="2">
        <v>420</v>
      </c>
      <c r="N49" s="2">
        <v>96</v>
      </c>
      <c r="O49" s="2">
        <f>BaseDeDatos!$M49*BaseDeDatos!$N49</f>
        <v>40320</v>
      </c>
    </row>
    <row r="50" spans="2:15">
      <c r="B50">
        <v>48</v>
      </c>
      <c r="C50" s="1">
        <v>43880</v>
      </c>
      <c r="D50">
        <v>5702300844</v>
      </c>
      <c r="E50" t="s">
        <v>36</v>
      </c>
      <c r="F50" t="s">
        <v>92</v>
      </c>
      <c r="G50" t="s">
        <v>99</v>
      </c>
      <c r="H50" t="s">
        <v>37</v>
      </c>
      <c r="I50" t="s">
        <v>25</v>
      </c>
      <c r="J50" t="s">
        <v>9</v>
      </c>
      <c r="K50" t="s">
        <v>19</v>
      </c>
      <c r="L50" t="s">
        <v>13</v>
      </c>
      <c r="M50" s="2">
        <v>742</v>
      </c>
      <c r="N50" s="2">
        <v>16</v>
      </c>
      <c r="O50" s="2">
        <f>BaseDeDatos!$M50*BaseDeDatos!$N50</f>
        <v>11872</v>
      </c>
    </row>
    <row r="51" spans="2:15">
      <c r="B51">
        <v>49</v>
      </c>
      <c r="C51" s="1">
        <v>43922</v>
      </c>
      <c r="D51">
        <v>6885713027</v>
      </c>
      <c r="E51" t="s">
        <v>14</v>
      </c>
      <c r="F51" t="s">
        <v>81</v>
      </c>
      <c r="G51" t="s">
        <v>94</v>
      </c>
      <c r="H51" t="s">
        <v>15</v>
      </c>
      <c r="K51" t="s">
        <v>66</v>
      </c>
      <c r="L51" t="s">
        <v>57</v>
      </c>
      <c r="M51" s="2">
        <v>532</v>
      </c>
      <c r="N51" s="2">
        <v>96</v>
      </c>
      <c r="O51" s="2">
        <f>BaseDeDatos!$M51*BaseDeDatos!$N51</f>
        <v>51072</v>
      </c>
    </row>
    <row r="52" spans="2:15">
      <c r="B52">
        <v>50</v>
      </c>
      <c r="C52" s="1">
        <v>43861</v>
      </c>
      <c r="D52">
        <v>5156178317</v>
      </c>
      <c r="E52" t="s">
        <v>32</v>
      </c>
      <c r="F52" t="s">
        <v>93</v>
      </c>
      <c r="G52" t="s">
        <v>96</v>
      </c>
      <c r="H52" t="s">
        <v>7</v>
      </c>
      <c r="K52" t="s">
        <v>44</v>
      </c>
      <c r="L52" t="s">
        <v>11</v>
      </c>
      <c r="M52" s="2">
        <v>41.86</v>
      </c>
      <c r="N52" s="2">
        <v>75</v>
      </c>
      <c r="O52" s="2">
        <f>BaseDeDatos!$M52*BaseDeDatos!$N52</f>
        <v>3139.5</v>
      </c>
    </row>
    <row r="53" spans="2:15">
      <c r="B53">
        <v>51</v>
      </c>
      <c r="C53" s="1">
        <v>43992</v>
      </c>
      <c r="D53">
        <v>9993785470</v>
      </c>
      <c r="E53" t="s">
        <v>54</v>
      </c>
      <c r="F53" t="s">
        <v>89</v>
      </c>
      <c r="G53" t="s">
        <v>84</v>
      </c>
      <c r="H53" t="s">
        <v>55</v>
      </c>
      <c r="I53" t="s">
        <v>16</v>
      </c>
      <c r="J53" t="s">
        <v>9</v>
      </c>
      <c r="K53" t="s">
        <v>56</v>
      </c>
      <c r="L53" t="s">
        <v>57</v>
      </c>
      <c r="M53" s="2">
        <v>273</v>
      </c>
      <c r="N53" s="2">
        <v>55</v>
      </c>
      <c r="O53" s="2">
        <f>BaseDeDatos!$M53*BaseDeDatos!$N53</f>
        <v>15015</v>
      </c>
    </row>
    <row r="54" spans="2:15">
      <c r="B54">
        <v>52</v>
      </c>
      <c r="C54" s="1">
        <v>44107</v>
      </c>
      <c r="D54">
        <v>2344903076</v>
      </c>
      <c r="E54" t="s">
        <v>54</v>
      </c>
      <c r="F54" t="s">
        <v>89</v>
      </c>
      <c r="G54" t="s">
        <v>84</v>
      </c>
      <c r="H54" t="s">
        <v>55</v>
      </c>
      <c r="I54" t="s">
        <v>16</v>
      </c>
      <c r="J54" t="s">
        <v>9</v>
      </c>
      <c r="K54" t="s">
        <v>58</v>
      </c>
      <c r="L54" t="s">
        <v>59</v>
      </c>
      <c r="M54" s="2">
        <v>487.19999999999993</v>
      </c>
      <c r="N54" s="2">
        <v>11</v>
      </c>
      <c r="O54" s="2">
        <f>BaseDeDatos!$M54*BaseDeDatos!$N54</f>
        <v>5359.1999999999989</v>
      </c>
    </row>
    <row r="55" spans="2:15">
      <c r="B55">
        <v>53</v>
      </c>
      <c r="C55" s="1">
        <v>44123</v>
      </c>
      <c r="D55">
        <v>5773601950</v>
      </c>
      <c r="E55" t="s">
        <v>36</v>
      </c>
      <c r="F55" t="s">
        <v>92</v>
      </c>
      <c r="G55" t="s">
        <v>99</v>
      </c>
      <c r="H55" t="s">
        <v>37</v>
      </c>
      <c r="I55" t="s">
        <v>8</v>
      </c>
      <c r="J55" t="s">
        <v>17</v>
      </c>
      <c r="K55" t="s">
        <v>10</v>
      </c>
      <c r="L55" t="s">
        <v>11</v>
      </c>
      <c r="M55" s="2">
        <v>196</v>
      </c>
      <c r="N55" s="2">
        <v>53</v>
      </c>
      <c r="O55" s="2">
        <f>BaseDeDatos!$M55*BaseDeDatos!$N55</f>
        <v>10388</v>
      </c>
    </row>
    <row r="56" spans="2:15">
      <c r="B56">
        <v>54</v>
      </c>
      <c r="C56" s="1">
        <v>44088</v>
      </c>
      <c r="D56">
        <v>4818078168</v>
      </c>
      <c r="E56" t="s">
        <v>23</v>
      </c>
      <c r="F56" t="s">
        <v>86</v>
      </c>
      <c r="G56" t="s">
        <v>82</v>
      </c>
      <c r="H56" t="s">
        <v>24</v>
      </c>
      <c r="I56" t="s">
        <v>8</v>
      </c>
      <c r="J56" t="s">
        <v>9</v>
      </c>
      <c r="K56" t="s">
        <v>38</v>
      </c>
      <c r="L56" t="s">
        <v>39</v>
      </c>
      <c r="M56" s="2">
        <v>560</v>
      </c>
      <c r="N56" s="2">
        <v>85</v>
      </c>
      <c r="O56" s="2">
        <f>BaseDeDatos!$M56*BaseDeDatos!$N56</f>
        <v>47600</v>
      </c>
    </row>
    <row r="57" spans="2:15">
      <c r="B57">
        <v>55</v>
      </c>
      <c r="C57" s="1">
        <v>44178</v>
      </c>
      <c r="D57">
        <v>9107195581</v>
      </c>
      <c r="E57" t="s">
        <v>23</v>
      </c>
      <c r="F57" t="s">
        <v>86</v>
      </c>
      <c r="G57" t="s">
        <v>82</v>
      </c>
      <c r="H57" t="s">
        <v>24</v>
      </c>
      <c r="I57" t="s">
        <v>8</v>
      </c>
      <c r="J57" t="s">
        <v>9</v>
      </c>
      <c r="K57" t="s">
        <v>26</v>
      </c>
      <c r="L57" t="s">
        <v>27</v>
      </c>
      <c r="M57" s="2">
        <v>128.79999999999998</v>
      </c>
      <c r="N57" s="2">
        <v>97</v>
      </c>
      <c r="O57" s="2">
        <f>BaseDeDatos!$M57*BaseDeDatos!$N57</f>
        <v>12493.599999999999</v>
      </c>
    </row>
    <row r="58" spans="2:15">
      <c r="B58">
        <v>56</v>
      </c>
      <c r="C58" s="1">
        <v>43964</v>
      </c>
      <c r="D58">
        <v>5806733138</v>
      </c>
      <c r="E58" t="s">
        <v>62</v>
      </c>
      <c r="F58" t="s">
        <v>91</v>
      </c>
      <c r="G58" t="s">
        <v>91</v>
      </c>
      <c r="H58" t="s">
        <v>43</v>
      </c>
      <c r="I58" t="s">
        <v>16</v>
      </c>
      <c r="J58" t="s">
        <v>33</v>
      </c>
      <c r="K58" t="s">
        <v>67</v>
      </c>
      <c r="L58" t="s">
        <v>27</v>
      </c>
      <c r="M58" s="2">
        <v>140</v>
      </c>
      <c r="N58" s="2">
        <v>46</v>
      </c>
      <c r="O58" s="2">
        <f>BaseDeDatos!$M58*BaseDeDatos!$N58</f>
        <v>6440</v>
      </c>
    </row>
    <row r="59" spans="2:15">
      <c r="B59">
        <v>57</v>
      </c>
      <c r="C59" s="1">
        <v>43882</v>
      </c>
      <c r="D59">
        <v>3059258597</v>
      </c>
      <c r="E59" t="s">
        <v>63</v>
      </c>
      <c r="F59" t="s">
        <v>85</v>
      </c>
      <c r="G59" t="s">
        <v>83</v>
      </c>
      <c r="H59" t="s">
        <v>41</v>
      </c>
      <c r="I59" t="s">
        <v>25</v>
      </c>
      <c r="J59" t="s">
        <v>17</v>
      </c>
      <c r="K59" t="s">
        <v>68</v>
      </c>
      <c r="L59" t="s">
        <v>69</v>
      </c>
      <c r="M59" s="2">
        <v>298.90000000000003</v>
      </c>
      <c r="N59" s="2">
        <v>97</v>
      </c>
      <c r="O59" s="2">
        <f>BaseDeDatos!$M59*BaseDeDatos!$N59</f>
        <v>28993.300000000003</v>
      </c>
    </row>
    <row r="60" spans="2:15">
      <c r="B60">
        <v>58</v>
      </c>
      <c r="C60" s="1">
        <v>44154</v>
      </c>
      <c r="D60">
        <v>586395005</v>
      </c>
      <c r="E60" t="s">
        <v>63</v>
      </c>
      <c r="F60" t="s">
        <v>85</v>
      </c>
      <c r="G60" t="s">
        <v>83</v>
      </c>
      <c r="H60" t="s">
        <v>41</v>
      </c>
      <c r="I60" t="s">
        <v>25</v>
      </c>
      <c r="J60" t="s">
        <v>17</v>
      </c>
      <c r="K60" t="s">
        <v>34</v>
      </c>
      <c r="L60" t="s">
        <v>35</v>
      </c>
      <c r="M60" s="2">
        <v>135.1</v>
      </c>
      <c r="N60" s="2">
        <v>97</v>
      </c>
      <c r="O60" s="2">
        <f>BaseDeDatos!$M60*BaseDeDatos!$N60</f>
        <v>13104.699999999999</v>
      </c>
    </row>
    <row r="61" spans="2:15">
      <c r="B61">
        <v>59</v>
      </c>
      <c r="C61" s="1">
        <v>44075</v>
      </c>
      <c r="D61">
        <v>9281389647</v>
      </c>
      <c r="E61" t="s">
        <v>63</v>
      </c>
      <c r="F61" t="s">
        <v>85</v>
      </c>
      <c r="G61" t="s">
        <v>83</v>
      </c>
      <c r="H61" t="s">
        <v>41</v>
      </c>
      <c r="I61" t="s">
        <v>25</v>
      </c>
      <c r="J61" t="s">
        <v>17</v>
      </c>
      <c r="K61" t="s">
        <v>52</v>
      </c>
      <c r="L61" t="s">
        <v>53</v>
      </c>
      <c r="M61" s="2">
        <v>257.59999999999997</v>
      </c>
      <c r="N61" s="2">
        <v>65</v>
      </c>
      <c r="O61" s="2">
        <f>BaseDeDatos!$M61*BaseDeDatos!$N61</f>
        <v>16743.999999999996</v>
      </c>
    </row>
    <row r="62" spans="2:15">
      <c r="B62">
        <v>60</v>
      </c>
      <c r="C62" s="1">
        <v>44171</v>
      </c>
      <c r="D62">
        <v>2230409971</v>
      </c>
      <c r="E62" t="s">
        <v>28</v>
      </c>
      <c r="F62" t="s">
        <v>89</v>
      </c>
      <c r="G62" t="s">
        <v>84</v>
      </c>
      <c r="H62" t="s">
        <v>29</v>
      </c>
      <c r="I62" t="s">
        <v>8</v>
      </c>
      <c r="J62" t="s">
        <v>9</v>
      </c>
      <c r="K62" t="s">
        <v>10</v>
      </c>
      <c r="L62" t="s">
        <v>11</v>
      </c>
      <c r="M62" s="2">
        <v>196</v>
      </c>
      <c r="N62" s="2">
        <v>72</v>
      </c>
      <c r="O62" s="2">
        <f>BaseDeDatos!$M62*BaseDeDatos!$N62</f>
        <v>14112</v>
      </c>
    </row>
    <row r="63" spans="2:15">
      <c r="B63">
        <v>61</v>
      </c>
      <c r="C63" s="1">
        <v>43982</v>
      </c>
      <c r="D63">
        <v>498762200</v>
      </c>
      <c r="E63" t="s">
        <v>36</v>
      </c>
      <c r="F63" t="s">
        <v>92</v>
      </c>
      <c r="G63" t="s">
        <v>99</v>
      </c>
      <c r="H63" t="s">
        <v>37</v>
      </c>
      <c r="I63" t="s">
        <v>25</v>
      </c>
      <c r="J63" t="s">
        <v>9</v>
      </c>
      <c r="K63" t="s">
        <v>30</v>
      </c>
      <c r="L63" t="s">
        <v>31</v>
      </c>
      <c r="M63" s="2">
        <v>178.5</v>
      </c>
      <c r="N63" s="2">
        <v>16</v>
      </c>
      <c r="O63" s="2">
        <f>BaseDeDatos!$M63*BaseDeDatos!$N63</f>
        <v>2856</v>
      </c>
    </row>
    <row r="64" spans="2:15">
      <c r="B64">
        <v>62</v>
      </c>
      <c r="C64" s="1">
        <v>43855</v>
      </c>
      <c r="D64">
        <v>5059332572</v>
      </c>
      <c r="E64" t="s">
        <v>14</v>
      </c>
      <c r="F64" t="s">
        <v>81</v>
      </c>
      <c r="G64" t="s">
        <v>94</v>
      </c>
      <c r="H64" t="s">
        <v>15</v>
      </c>
      <c r="I64" t="s">
        <v>16</v>
      </c>
      <c r="J64" t="s">
        <v>17</v>
      </c>
      <c r="K64" t="s">
        <v>70</v>
      </c>
      <c r="L64" t="s">
        <v>47</v>
      </c>
      <c r="M64" s="2">
        <v>1134</v>
      </c>
      <c r="N64" s="2">
        <v>77</v>
      </c>
      <c r="O64" s="2">
        <f>BaseDeDatos!$M64*BaseDeDatos!$N64</f>
        <v>87318</v>
      </c>
    </row>
    <row r="65" spans="2:15">
      <c r="B65">
        <v>63</v>
      </c>
      <c r="C65" s="1">
        <v>44034</v>
      </c>
      <c r="D65">
        <v>807667000</v>
      </c>
      <c r="E65" t="s">
        <v>14</v>
      </c>
      <c r="F65" t="s">
        <v>81</v>
      </c>
      <c r="G65" t="s">
        <v>94</v>
      </c>
      <c r="H65" t="s">
        <v>15</v>
      </c>
      <c r="I65" t="s">
        <v>16</v>
      </c>
      <c r="J65" t="s">
        <v>17</v>
      </c>
      <c r="K65" t="s">
        <v>71</v>
      </c>
      <c r="L65" t="s">
        <v>72</v>
      </c>
      <c r="M65" s="2">
        <v>98</v>
      </c>
      <c r="N65" s="2">
        <v>37</v>
      </c>
      <c r="O65" s="2">
        <f>BaseDeDatos!$M65*BaseDeDatos!$N65</f>
        <v>3626</v>
      </c>
    </row>
    <row r="66" spans="2:15">
      <c r="B66">
        <v>64</v>
      </c>
      <c r="C66" s="1">
        <v>44117</v>
      </c>
      <c r="D66">
        <v>4320869422</v>
      </c>
      <c r="E66" t="s">
        <v>23</v>
      </c>
      <c r="F66" t="s">
        <v>86</v>
      </c>
      <c r="G66" t="s">
        <v>82</v>
      </c>
      <c r="H66" t="s">
        <v>24</v>
      </c>
      <c r="I66" t="s">
        <v>25</v>
      </c>
      <c r="J66" t="s">
        <v>17</v>
      </c>
      <c r="K66" t="s">
        <v>58</v>
      </c>
      <c r="L66" t="s">
        <v>59</v>
      </c>
      <c r="M66" s="2">
        <v>487.19999999999993</v>
      </c>
      <c r="N66" s="2">
        <v>63</v>
      </c>
      <c r="O66" s="2">
        <f>BaseDeDatos!$M66*BaseDeDatos!$N66</f>
        <v>30693.599999999995</v>
      </c>
    </row>
    <row r="67" spans="2:15">
      <c r="B67">
        <v>65</v>
      </c>
      <c r="C67" s="1">
        <v>44174</v>
      </c>
      <c r="D67">
        <v>7227542762</v>
      </c>
      <c r="E67" t="s">
        <v>32</v>
      </c>
      <c r="F67" t="s">
        <v>93</v>
      </c>
      <c r="G67" t="s">
        <v>96</v>
      </c>
      <c r="H67" t="s">
        <v>7</v>
      </c>
      <c r="I67" t="s">
        <v>8</v>
      </c>
      <c r="J67" t="s">
        <v>33</v>
      </c>
      <c r="K67" t="s">
        <v>60</v>
      </c>
      <c r="L67" t="s">
        <v>49</v>
      </c>
      <c r="M67" s="2">
        <v>140</v>
      </c>
      <c r="N67" s="2">
        <v>48</v>
      </c>
      <c r="O67" s="2">
        <f>BaseDeDatos!$M67*BaseDeDatos!$N67</f>
        <v>6720</v>
      </c>
    </row>
    <row r="68" spans="2:15">
      <c r="B68">
        <v>66</v>
      </c>
      <c r="C68" s="1">
        <v>43890</v>
      </c>
      <c r="D68">
        <v>4844854212</v>
      </c>
      <c r="E68" t="s">
        <v>32</v>
      </c>
      <c r="F68" t="s">
        <v>93</v>
      </c>
      <c r="G68" t="s">
        <v>96</v>
      </c>
      <c r="H68" t="s">
        <v>7</v>
      </c>
      <c r="I68" t="s">
        <v>8</v>
      </c>
      <c r="J68" t="s">
        <v>33</v>
      </c>
      <c r="K68" t="s">
        <v>38</v>
      </c>
      <c r="L68" t="s">
        <v>39</v>
      </c>
      <c r="M68" s="2">
        <v>560</v>
      </c>
      <c r="N68" s="2">
        <v>71</v>
      </c>
      <c r="O68" s="2">
        <f>BaseDeDatos!$M68*BaseDeDatos!$N68</f>
        <v>39760</v>
      </c>
    </row>
    <row r="69" spans="2:15">
      <c r="B69">
        <v>67</v>
      </c>
      <c r="C69" s="1">
        <v>43945</v>
      </c>
      <c r="D69">
        <v>6476704094</v>
      </c>
      <c r="E69" t="s">
        <v>42</v>
      </c>
      <c r="F69" t="s">
        <v>91</v>
      </c>
      <c r="G69" t="s">
        <v>91</v>
      </c>
      <c r="H69" t="s">
        <v>43</v>
      </c>
      <c r="I69" t="s">
        <v>8</v>
      </c>
      <c r="J69" t="s">
        <v>17</v>
      </c>
      <c r="K69" t="s">
        <v>61</v>
      </c>
      <c r="L69" t="s">
        <v>13</v>
      </c>
      <c r="M69" s="2">
        <v>140</v>
      </c>
      <c r="N69" s="2">
        <v>55</v>
      </c>
      <c r="O69" s="2">
        <f>BaseDeDatos!$M69*BaseDeDatos!$N69</f>
        <v>7700</v>
      </c>
    </row>
    <row r="70" spans="2:15">
      <c r="B70">
        <v>68</v>
      </c>
      <c r="C70" s="1">
        <v>44052</v>
      </c>
      <c r="D70">
        <v>289513623</v>
      </c>
      <c r="E70" t="s">
        <v>42</v>
      </c>
      <c r="F70" t="s">
        <v>91</v>
      </c>
      <c r="G70" t="s">
        <v>91</v>
      </c>
      <c r="H70" t="s">
        <v>43</v>
      </c>
      <c r="I70" t="s">
        <v>16</v>
      </c>
      <c r="K70" t="s">
        <v>12</v>
      </c>
      <c r="L70" t="s">
        <v>13</v>
      </c>
      <c r="M70" s="2">
        <v>49</v>
      </c>
      <c r="N70" s="2">
        <v>21</v>
      </c>
      <c r="O70" s="2">
        <f>BaseDeDatos!$M70*BaseDeDatos!$N70</f>
        <v>1029</v>
      </c>
    </row>
    <row r="71" spans="2:15">
      <c r="B71">
        <v>69</v>
      </c>
      <c r="C71" s="1">
        <v>44115</v>
      </c>
      <c r="D71">
        <v>4360909288</v>
      </c>
      <c r="E71" t="s">
        <v>50</v>
      </c>
      <c r="F71" t="s">
        <v>85</v>
      </c>
      <c r="G71" t="s">
        <v>83</v>
      </c>
      <c r="H71" t="s">
        <v>41</v>
      </c>
      <c r="I71" t="s">
        <v>25</v>
      </c>
      <c r="K71" t="s">
        <v>38</v>
      </c>
      <c r="L71" t="s">
        <v>39</v>
      </c>
      <c r="M71" s="2">
        <v>560</v>
      </c>
      <c r="N71" s="2">
        <v>67</v>
      </c>
      <c r="O71" s="2">
        <f>BaseDeDatos!$M71*BaseDeDatos!$N71</f>
        <v>37520</v>
      </c>
    </row>
    <row r="72" spans="2:15">
      <c r="B72">
        <v>70</v>
      </c>
      <c r="C72" s="1">
        <v>43966</v>
      </c>
      <c r="D72">
        <v>1569352924</v>
      </c>
      <c r="E72" t="s">
        <v>51</v>
      </c>
      <c r="F72" t="s">
        <v>90</v>
      </c>
      <c r="G72" t="s">
        <v>98</v>
      </c>
      <c r="H72" t="s">
        <v>24</v>
      </c>
      <c r="I72" t="s">
        <v>25</v>
      </c>
      <c r="K72" t="s">
        <v>52</v>
      </c>
      <c r="L72" t="s">
        <v>53</v>
      </c>
      <c r="M72" s="2">
        <v>257.59999999999997</v>
      </c>
      <c r="N72" s="2">
        <v>75</v>
      </c>
      <c r="O72" s="2">
        <f>BaseDeDatos!$M72*BaseDeDatos!$N72</f>
        <v>19319.999999999996</v>
      </c>
    </row>
    <row r="73" spans="2:15">
      <c r="B73">
        <v>71</v>
      </c>
      <c r="C73" s="1">
        <v>43962</v>
      </c>
      <c r="D73">
        <v>4417023777</v>
      </c>
      <c r="E73" t="s">
        <v>40</v>
      </c>
      <c r="F73" t="s">
        <v>97</v>
      </c>
      <c r="G73" t="s">
        <v>88</v>
      </c>
      <c r="H73" t="s">
        <v>41</v>
      </c>
      <c r="I73" t="s">
        <v>25</v>
      </c>
      <c r="J73" t="s">
        <v>17</v>
      </c>
      <c r="K73" t="s">
        <v>22</v>
      </c>
      <c r="L73" t="s">
        <v>11</v>
      </c>
      <c r="M73" s="2">
        <v>644</v>
      </c>
      <c r="N73" s="2">
        <v>17</v>
      </c>
      <c r="O73" s="2">
        <f>BaseDeDatos!$M73*BaseDeDatos!$N73</f>
        <v>10948</v>
      </c>
    </row>
    <row r="74" spans="2:15">
      <c r="B74">
        <v>72</v>
      </c>
      <c r="C74" s="1">
        <v>43845</v>
      </c>
      <c r="D74">
        <v>5213348963</v>
      </c>
      <c r="E74" t="s">
        <v>14</v>
      </c>
      <c r="F74" t="s">
        <v>81</v>
      </c>
      <c r="G74" t="s">
        <v>94</v>
      </c>
      <c r="H74" t="s">
        <v>15</v>
      </c>
      <c r="I74" t="s">
        <v>16</v>
      </c>
      <c r="J74" t="s">
        <v>17</v>
      </c>
      <c r="K74" t="s">
        <v>12</v>
      </c>
      <c r="L74" t="s">
        <v>13</v>
      </c>
      <c r="M74" s="2">
        <v>49</v>
      </c>
      <c r="N74" s="2">
        <v>48</v>
      </c>
      <c r="O74" s="2">
        <f>BaseDeDatos!$M74*BaseDeDatos!$N74</f>
        <v>2352</v>
      </c>
    </row>
    <row r="75" spans="2:15">
      <c r="B75">
        <v>73</v>
      </c>
      <c r="C75" s="1">
        <v>44010</v>
      </c>
      <c r="D75">
        <v>6039525395</v>
      </c>
      <c r="E75" t="s">
        <v>20</v>
      </c>
      <c r="F75" t="s">
        <v>80</v>
      </c>
      <c r="G75" t="s">
        <v>95</v>
      </c>
      <c r="H75" t="s">
        <v>7</v>
      </c>
      <c r="I75" t="s">
        <v>8</v>
      </c>
      <c r="J75" t="s">
        <v>17</v>
      </c>
      <c r="K75" t="s">
        <v>21</v>
      </c>
      <c r="L75" t="s">
        <v>11</v>
      </c>
      <c r="M75" s="2">
        <v>252</v>
      </c>
      <c r="N75" s="2">
        <v>74</v>
      </c>
      <c r="O75" s="2">
        <f>BaseDeDatos!$M75*BaseDeDatos!$N75</f>
        <v>18648</v>
      </c>
    </row>
    <row r="76" spans="2:15">
      <c r="B76">
        <v>74</v>
      </c>
      <c r="C76" s="1">
        <v>44123</v>
      </c>
      <c r="D76">
        <v>7564866770</v>
      </c>
      <c r="E76" t="s">
        <v>20</v>
      </c>
      <c r="F76" t="s">
        <v>80</v>
      </c>
      <c r="G76" t="s">
        <v>95</v>
      </c>
      <c r="H76" t="s">
        <v>7</v>
      </c>
      <c r="I76" t="s">
        <v>8</v>
      </c>
      <c r="J76" t="s">
        <v>17</v>
      </c>
      <c r="K76" t="s">
        <v>22</v>
      </c>
      <c r="L76" t="s">
        <v>11</v>
      </c>
      <c r="M76" s="2">
        <v>644</v>
      </c>
      <c r="N76" s="2">
        <v>96</v>
      </c>
      <c r="O76" s="2">
        <f>BaseDeDatos!$M76*BaseDeDatos!$N76</f>
        <v>61824</v>
      </c>
    </row>
    <row r="77" spans="2:15">
      <c r="B77">
        <v>75</v>
      </c>
      <c r="C77" s="1">
        <v>43976</v>
      </c>
      <c r="D77">
        <v>9161740728</v>
      </c>
      <c r="E77" t="s">
        <v>23</v>
      </c>
      <c r="F77" t="s">
        <v>86</v>
      </c>
      <c r="G77" t="s">
        <v>82</v>
      </c>
      <c r="H77" t="s">
        <v>24</v>
      </c>
      <c r="I77" t="s">
        <v>25</v>
      </c>
      <c r="J77" t="s">
        <v>17</v>
      </c>
      <c r="K77" t="s">
        <v>26</v>
      </c>
      <c r="L77" t="s">
        <v>27</v>
      </c>
      <c r="M77" s="2">
        <v>128.79999999999998</v>
      </c>
      <c r="N77" s="2">
        <v>12</v>
      </c>
      <c r="O77" s="2">
        <f>BaseDeDatos!$M77*BaseDeDatos!$N77</f>
        <v>1545.6</v>
      </c>
    </row>
    <row r="78" spans="2:15">
      <c r="B78">
        <v>76</v>
      </c>
      <c r="C78" s="1">
        <v>43939</v>
      </c>
      <c r="D78">
        <v>5854661633</v>
      </c>
      <c r="E78" t="s">
        <v>14</v>
      </c>
      <c r="F78" t="s">
        <v>81</v>
      </c>
      <c r="G78" t="s">
        <v>94</v>
      </c>
      <c r="H78" t="s">
        <v>15</v>
      </c>
      <c r="I78" t="s">
        <v>25</v>
      </c>
      <c r="J78" t="s">
        <v>9</v>
      </c>
      <c r="K78" t="s">
        <v>26</v>
      </c>
      <c r="L78" t="s">
        <v>27</v>
      </c>
      <c r="M78" s="2">
        <v>128.79999999999998</v>
      </c>
      <c r="N78" s="2">
        <v>62</v>
      </c>
      <c r="O78" s="2">
        <f>BaseDeDatos!$M78*BaseDeDatos!$N78</f>
        <v>7985.5999999999985</v>
      </c>
    </row>
    <row r="79" spans="2:15">
      <c r="B79">
        <v>77</v>
      </c>
      <c r="C79" s="1">
        <v>43995</v>
      </c>
      <c r="D79">
        <v>9782824487</v>
      </c>
      <c r="E79" t="s">
        <v>28</v>
      </c>
      <c r="F79" t="s">
        <v>89</v>
      </c>
      <c r="G79" t="s">
        <v>84</v>
      </c>
      <c r="H79" t="s">
        <v>29</v>
      </c>
      <c r="I79" t="s">
        <v>8</v>
      </c>
      <c r="J79" t="s">
        <v>9</v>
      </c>
      <c r="K79" t="s">
        <v>30</v>
      </c>
      <c r="L79" t="s">
        <v>31</v>
      </c>
      <c r="M79" s="2">
        <v>178.5</v>
      </c>
      <c r="N79" s="2">
        <v>35</v>
      </c>
      <c r="O79" s="2">
        <f>BaseDeDatos!$M79*BaseDeDatos!$N79</f>
        <v>6247.5</v>
      </c>
    </row>
    <row r="80" spans="2:15">
      <c r="B80">
        <v>78</v>
      </c>
      <c r="C80" s="1">
        <v>43888</v>
      </c>
      <c r="D80">
        <v>5368581132</v>
      </c>
      <c r="E80" t="s">
        <v>32</v>
      </c>
      <c r="F80" t="s">
        <v>93</v>
      </c>
      <c r="G80" t="s">
        <v>96</v>
      </c>
      <c r="H80" t="s">
        <v>7</v>
      </c>
      <c r="I80" t="s">
        <v>8</v>
      </c>
      <c r="J80" t="s">
        <v>33</v>
      </c>
      <c r="K80" t="s">
        <v>34</v>
      </c>
      <c r="L80" t="s">
        <v>35</v>
      </c>
      <c r="M80" s="2">
        <v>135.1</v>
      </c>
      <c r="N80" s="2">
        <v>95</v>
      </c>
      <c r="O80" s="2">
        <f>BaseDeDatos!$M80*BaseDeDatos!$N80</f>
        <v>12834.5</v>
      </c>
    </row>
    <row r="81" spans="2:15">
      <c r="B81">
        <v>79</v>
      </c>
      <c r="C81" s="1">
        <v>43991</v>
      </c>
      <c r="D81">
        <v>1972466220</v>
      </c>
      <c r="E81" t="s">
        <v>36</v>
      </c>
      <c r="F81" t="s">
        <v>92</v>
      </c>
      <c r="G81" t="s">
        <v>99</v>
      </c>
      <c r="H81" t="s">
        <v>37</v>
      </c>
      <c r="I81" t="s">
        <v>8</v>
      </c>
      <c r="J81" t="s">
        <v>17</v>
      </c>
      <c r="K81" t="s">
        <v>38</v>
      </c>
      <c r="L81" t="s">
        <v>39</v>
      </c>
      <c r="M81" s="2">
        <v>560</v>
      </c>
      <c r="N81" s="2">
        <v>17</v>
      </c>
      <c r="O81" s="2">
        <f>BaseDeDatos!$M81*BaseDeDatos!$N81</f>
        <v>9520</v>
      </c>
    </row>
    <row r="82" spans="2:15">
      <c r="B82">
        <v>80</v>
      </c>
      <c r="C82" s="1">
        <v>44149</v>
      </c>
      <c r="D82">
        <v>6835780904</v>
      </c>
      <c r="E82" t="s">
        <v>40</v>
      </c>
      <c r="F82" t="s">
        <v>97</v>
      </c>
      <c r="G82" t="s">
        <v>88</v>
      </c>
      <c r="H82" t="s">
        <v>41</v>
      </c>
      <c r="I82" t="s">
        <v>25</v>
      </c>
      <c r="J82" t="s">
        <v>9</v>
      </c>
      <c r="K82" t="s">
        <v>22</v>
      </c>
      <c r="L82" t="s">
        <v>11</v>
      </c>
      <c r="M82" s="2">
        <v>644</v>
      </c>
      <c r="N82" s="2">
        <v>96</v>
      </c>
      <c r="O82" s="2">
        <f>BaseDeDatos!$M82*BaseDeDatos!$N82</f>
        <v>61824</v>
      </c>
    </row>
    <row r="83" spans="2:15">
      <c r="B83">
        <v>81</v>
      </c>
      <c r="C83" s="1">
        <v>44029</v>
      </c>
      <c r="D83">
        <v>9361876990</v>
      </c>
      <c r="E83" t="s">
        <v>23</v>
      </c>
      <c r="F83" t="s">
        <v>86</v>
      </c>
      <c r="G83" t="s">
        <v>82</v>
      </c>
      <c r="H83" t="s">
        <v>24</v>
      </c>
      <c r="I83" t="s">
        <v>25</v>
      </c>
      <c r="J83" t="s">
        <v>9</v>
      </c>
      <c r="K83" t="s">
        <v>30</v>
      </c>
      <c r="L83" t="s">
        <v>31</v>
      </c>
      <c r="M83" s="2">
        <v>178.5</v>
      </c>
      <c r="N83" s="2">
        <v>83</v>
      </c>
      <c r="O83" s="2">
        <f>BaseDeDatos!$M83*BaseDeDatos!$N83</f>
        <v>14815.5</v>
      </c>
    </row>
    <row r="84" spans="2:15">
      <c r="B84">
        <v>82</v>
      </c>
      <c r="C84" s="1">
        <v>43831</v>
      </c>
      <c r="D84">
        <v>7655628230</v>
      </c>
      <c r="E84" t="s">
        <v>42</v>
      </c>
      <c r="F84" t="s">
        <v>91</v>
      </c>
      <c r="G84" t="s">
        <v>91</v>
      </c>
      <c r="H84" t="s">
        <v>43</v>
      </c>
      <c r="I84" t="s">
        <v>8</v>
      </c>
      <c r="J84" t="s">
        <v>17</v>
      </c>
      <c r="K84" t="s">
        <v>44</v>
      </c>
      <c r="L84" t="s">
        <v>11</v>
      </c>
      <c r="M84" s="2">
        <v>41.86</v>
      </c>
      <c r="N84" s="2">
        <v>88</v>
      </c>
      <c r="O84" s="2">
        <f>BaseDeDatos!$M84*BaseDeDatos!$N84</f>
        <v>3683.68</v>
      </c>
    </row>
    <row r="85" spans="2:15">
      <c r="B85">
        <v>83</v>
      </c>
      <c r="C85" s="1">
        <v>43952</v>
      </c>
      <c r="D85">
        <v>6770397729</v>
      </c>
      <c r="E85" t="s">
        <v>45</v>
      </c>
      <c r="F85" t="s">
        <v>87</v>
      </c>
      <c r="G85" t="s">
        <v>87</v>
      </c>
      <c r="H85" t="s">
        <v>24</v>
      </c>
      <c r="K85" t="s">
        <v>22</v>
      </c>
      <c r="L85" t="s">
        <v>11</v>
      </c>
      <c r="M85" s="2">
        <v>644</v>
      </c>
      <c r="N85" s="2">
        <v>59</v>
      </c>
      <c r="O85" s="2">
        <f>BaseDeDatos!$M85*BaseDeDatos!$N85</f>
        <v>37996</v>
      </c>
    </row>
    <row r="86" spans="2:15">
      <c r="B86">
        <v>84</v>
      </c>
      <c r="C86" s="1">
        <v>44099</v>
      </c>
      <c r="D86">
        <v>6622149015</v>
      </c>
      <c r="E86" t="s">
        <v>42</v>
      </c>
      <c r="F86" t="s">
        <v>91</v>
      </c>
      <c r="G86" t="s">
        <v>91</v>
      </c>
      <c r="H86" t="s">
        <v>43</v>
      </c>
      <c r="I86" t="s">
        <v>16</v>
      </c>
      <c r="K86" t="s">
        <v>46</v>
      </c>
      <c r="L86" t="s">
        <v>47</v>
      </c>
      <c r="M86" s="2">
        <v>350</v>
      </c>
      <c r="N86" s="2">
        <v>27</v>
      </c>
      <c r="O86" s="2">
        <f>BaseDeDatos!$M86*BaseDeDatos!$N86</f>
        <v>9450</v>
      </c>
    </row>
    <row r="87" spans="2:15">
      <c r="B87">
        <v>85</v>
      </c>
      <c r="C87" s="1">
        <v>44071</v>
      </c>
      <c r="D87">
        <v>8859429908</v>
      </c>
      <c r="E87" t="s">
        <v>42</v>
      </c>
      <c r="F87" t="s">
        <v>91</v>
      </c>
      <c r="G87" t="s">
        <v>91</v>
      </c>
      <c r="H87" t="s">
        <v>43</v>
      </c>
      <c r="I87" t="s">
        <v>16</v>
      </c>
      <c r="K87" t="s">
        <v>48</v>
      </c>
      <c r="L87" t="s">
        <v>49</v>
      </c>
      <c r="M87" s="2">
        <v>308</v>
      </c>
      <c r="N87" s="2">
        <v>37</v>
      </c>
      <c r="O87" s="2">
        <f>BaseDeDatos!$M87*BaseDeDatos!$N87</f>
        <v>11396</v>
      </c>
    </row>
    <row r="88" spans="2:15">
      <c r="B88">
        <v>86</v>
      </c>
      <c r="C88" s="1">
        <v>44104</v>
      </c>
      <c r="D88">
        <v>146252536</v>
      </c>
      <c r="E88" t="s">
        <v>42</v>
      </c>
      <c r="F88" t="s">
        <v>91</v>
      </c>
      <c r="G88" t="s">
        <v>91</v>
      </c>
      <c r="H88" t="s">
        <v>43</v>
      </c>
      <c r="I88" t="s">
        <v>16</v>
      </c>
      <c r="K88" t="s">
        <v>26</v>
      </c>
      <c r="L88" t="s">
        <v>27</v>
      </c>
      <c r="M88" s="2">
        <v>128.79999999999998</v>
      </c>
      <c r="N88" s="2">
        <v>75</v>
      </c>
      <c r="O88" s="2">
        <f>BaseDeDatos!$M88*BaseDeDatos!$N88</f>
        <v>9659.9999999999982</v>
      </c>
    </row>
    <row r="89" spans="2:15">
      <c r="B89">
        <v>87</v>
      </c>
      <c r="C89" s="1">
        <v>43866</v>
      </c>
      <c r="D89">
        <v>9010865731</v>
      </c>
      <c r="E89" t="s">
        <v>50</v>
      </c>
      <c r="F89" t="s">
        <v>85</v>
      </c>
      <c r="G89" t="s">
        <v>83</v>
      </c>
      <c r="H89" t="s">
        <v>41</v>
      </c>
      <c r="I89" t="s">
        <v>25</v>
      </c>
      <c r="K89" t="s">
        <v>12</v>
      </c>
      <c r="L89" t="s">
        <v>13</v>
      </c>
      <c r="M89" s="2">
        <v>49</v>
      </c>
      <c r="N89" s="2">
        <v>71</v>
      </c>
      <c r="O89" s="2">
        <f>BaseDeDatos!$M89*BaseDeDatos!$N89</f>
        <v>3479</v>
      </c>
    </row>
    <row r="90" spans="2:15">
      <c r="B90">
        <v>88</v>
      </c>
      <c r="C90" s="1">
        <v>44017</v>
      </c>
      <c r="D90">
        <v>9076170123</v>
      </c>
      <c r="E90" t="s">
        <v>50</v>
      </c>
      <c r="F90" t="s">
        <v>85</v>
      </c>
      <c r="G90" t="s">
        <v>83</v>
      </c>
      <c r="H90" t="s">
        <v>41</v>
      </c>
      <c r="I90" t="s">
        <v>25</v>
      </c>
      <c r="K90" t="s">
        <v>44</v>
      </c>
      <c r="L90" t="s">
        <v>11</v>
      </c>
      <c r="M90" s="2">
        <v>41.86</v>
      </c>
      <c r="N90" s="2">
        <v>88</v>
      </c>
      <c r="O90" s="2">
        <f>BaseDeDatos!$M90*BaseDeDatos!$N90</f>
        <v>3683.68</v>
      </c>
    </row>
    <row r="91" spans="2:15">
      <c r="B91">
        <v>89</v>
      </c>
      <c r="C91" s="1">
        <v>43924</v>
      </c>
      <c r="D91">
        <v>4412491838</v>
      </c>
      <c r="E91" t="s">
        <v>51</v>
      </c>
      <c r="F91" t="s">
        <v>90</v>
      </c>
      <c r="G91" t="s">
        <v>98</v>
      </c>
      <c r="H91" t="s">
        <v>24</v>
      </c>
      <c r="K91" t="s">
        <v>21</v>
      </c>
      <c r="L91" t="s">
        <v>11</v>
      </c>
      <c r="M91" s="2">
        <v>252</v>
      </c>
      <c r="N91" s="2">
        <v>55</v>
      </c>
      <c r="O91" s="2">
        <f>BaseDeDatos!$M91*BaseDeDatos!$N91</f>
        <v>13860</v>
      </c>
    </row>
    <row r="92" spans="2:15">
      <c r="B92">
        <v>90</v>
      </c>
      <c r="C92" s="1">
        <v>43964</v>
      </c>
      <c r="D92">
        <v>7223227521</v>
      </c>
      <c r="E92" t="s">
        <v>28</v>
      </c>
      <c r="F92" t="s">
        <v>89</v>
      </c>
      <c r="G92" t="s">
        <v>84</v>
      </c>
      <c r="H92" t="s">
        <v>29</v>
      </c>
      <c r="I92" t="s">
        <v>8</v>
      </c>
      <c r="J92" t="s">
        <v>9</v>
      </c>
      <c r="K92" t="s">
        <v>30</v>
      </c>
      <c r="L92" t="s">
        <v>31</v>
      </c>
      <c r="M92" s="2">
        <v>178.5</v>
      </c>
      <c r="N92" s="2">
        <v>14</v>
      </c>
      <c r="O92" s="2">
        <f>BaseDeDatos!$M92*BaseDeDatos!$N92</f>
        <v>2499</v>
      </c>
    </row>
    <row r="93" spans="2:15">
      <c r="B93">
        <v>91</v>
      </c>
      <c r="C93" s="1">
        <v>43994</v>
      </c>
      <c r="D93">
        <v>9595973394</v>
      </c>
      <c r="E93" t="s">
        <v>32</v>
      </c>
      <c r="F93" t="s">
        <v>93</v>
      </c>
      <c r="G93" t="s">
        <v>96</v>
      </c>
      <c r="H93" t="s">
        <v>7</v>
      </c>
      <c r="I93" t="s">
        <v>8</v>
      </c>
      <c r="J93" t="s">
        <v>33</v>
      </c>
      <c r="K93" t="s">
        <v>34</v>
      </c>
      <c r="L93" t="s">
        <v>35</v>
      </c>
      <c r="M93" s="2">
        <v>135.1</v>
      </c>
      <c r="N93" s="2">
        <v>43</v>
      </c>
      <c r="O93" s="2">
        <f>BaseDeDatos!$M93*BaseDeDatos!$N93</f>
        <v>5809.3</v>
      </c>
    </row>
    <row r="94" spans="2:15">
      <c r="B94">
        <v>92</v>
      </c>
      <c r="C94" s="1">
        <v>43891</v>
      </c>
      <c r="D94">
        <v>2755531090</v>
      </c>
      <c r="E94" t="s">
        <v>36</v>
      </c>
      <c r="F94" t="s">
        <v>92</v>
      </c>
      <c r="G94" t="s">
        <v>99</v>
      </c>
      <c r="H94" t="s">
        <v>37</v>
      </c>
      <c r="I94" t="s">
        <v>8</v>
      </c>
      <c r="J94" t="s">
        <v>17</v>
      </c>
      <c r="K94" t="s">
        <v>38</v>
      </c>
      <c r="L94" t="s">
        <v>39</v>
      </c>
      <c r="M94" s="2">
        <v>560</v>
      </c>
      <c r="N94" s="2">
        <v>63</v>
      </c>
      <c r="O94" s="2">
        <f>BaseDeDatos!$M94*BaseDeDatos!$N94</f>
        <v>35280</v>
      </c>
    </row>
    <row r="95" spans="2:15">
      <c r="B95">
        <v>93</v>
      </c>
      <c r="C95" s="1">
        <v>44069</v>
      </c>
      <c r="D95">
        <v>5306800000</v>
      </c>
      <c r="E95" t="s">
        <v>40</v>
      </c>
      <c r="F95" t="s">
        <v>97</v>
      </c>
      <c r="G95" t="s">
        <v>88</v>
      </c>
      <c r="H95" t="s">
        <v>41</v>
      </c>
      <c r="I95" t="s">
        <v>25</v>
      </c>
      <c r="J95" t="s">
        <v>9</v>
      </c>
      <c r="K95" t="s">
        <v>22</v>
      </c>
      <c r="L95" t="s">
        <v>11</v>
      </c>
      <c r="M95" s="2">
        <v>644</v>
      </c>
      <c r="N95" s="2">
        <v>36</v>
      </c>
      <c r="O95" s="2">
        <f>BaseDeDatos!$M95*BaseDeDatos!$N95</f>
        <v>23184</v>
      </c>
    </row>
    <row r="96" spans="2:15">
      <c r="B96">
        <v>94</v>
      </c>
      <c r="C96" s="1">
        <v>44171</v>
      </c>
      <c r="D96">
        <v>6768826719</v>
      </c>
      <c r="E96" t="s">
        <v>23</v>
      </c>
      <c r="F96" t="s">
        <v>86</v>
      </c>
      <c r="G96" t="s">
        <v>82</v>
      </c>
      <c r="H96" t="s">
        <v>24</v>
      </c>
      <c r="I96" t="s">
        <v>25</v>
      </c>
      <c r="J96" t="s">
        <v>9</v>
      </c>
      <c r="K96" t="s">
        <v>30</v>
      </c>
      <c r="L96" t="s">
        <v>31</v>
      </c>
      <c r="M96" s="2">
        <v>178.5</v>
      </c>
      <c r="N96" s="2">
        <v>41</v>
      </c>
      <c r="O96" s="2">
        <f>BaseDeDatos!$M96*BaseDeDatos!$N96</f>
        <v>7318.5</v>
      </c>
    </row>
    <row r="97" spans="2:15">
      <c r="B97">
        <v>95</v>
      </c>
      <c r="C97" s="1">
        <v>43923</v>
      </c>
      <c r="D97">
        <v>7945500000</v>
      </c>
      <c r="E97" t="s">
        <v>42</v>
      </c>
      <c r="F97" t="s">
        <v>91</v>
      </c>
      <c r="G97" t="s">
        <v>91</v>
      </c>
      <c r="H97" t="s">
        <v>43</v>
      </c>
      <c r="I97" t="s">
        <v>8</v>
      </c>
      <c r="J97" t="s">
        <v>17</v>
      </c>
      <c r="K97" t="s">
        <v>44</v>
      </c>
      <c r="L97" t="s">
        <v>11</v>
      </c>
      <c r="M97" s="2">
        <v>41.86</v>
      </c>
      <c r="N97" s="2">
        <v>35</v>
      </c>
      <c r="O97" s="2">
        <f>BaseDeDatos!$M97*BaseDeDatos!$N97</f>
        <v>1465.1</v>
      </c>
    </row>
    <row r="98" spans="2:15">
      <c r="B98">
        <v>96</v>
      </c>
      <c r="C98" s="1">
        <v>43923</v>
      </c>
      <c r="D98">
        <v>4671327569</v>
      </c>
      <c r="E98" t="s">
        <v>45</v>
      </c>
      <c r="F98" t="s">
        <v>87</v>
      </c>
      <c r="G98" t="s">
        <v>87</v>
      </c>
      <c r="H98" t="s">
        <v>24</v>
      </c>
      <c r="K98" t="s">
        <v>22</v>
      </c>
      <c r="L98" t="s">
        <v>11</v>
      </c>
      <c r="M98" s="2">
        <v>644</v>
      </c>
      <c r="N98" s="2">
        <v>31</v>
      </c>
      <c r="O98" s="2">
        <f>BaseDeDatos!$M98*BaseDeDatos!$N98</f>
        <v>19964</v>
      </c>
    </row>
    <row r="99" spans="2:15">
      <c r="B99">
        <v>97</v>
      </c>
      <c r="C99" s="1">
        <v>44100</v>
      </c>
      <c r="D99">
        <v>5750783013</v>
      </c>
      <c r="E99" t="s">
        <v>42</v>
      </c>
      <c r="F99" t="s">
        <v>91</v>
      </c>
      <c r="G99" t="s">
        <v>91</v>
      </c>
      <c r="H99" t="s">
        <v>43</v>
      </c>
      <c r="I99" t="s">
        <v>16</v>
      </c>
      <c r="K99" t="s">
        <v>46</v>
      </c>
      <c r="L99" t="s">
        <v>47</v>
      </c>
      <c r="M99" s="2">
        <v>350</v>
      </c>
      <c r="N99" s="2">
        <v>52</v>
      </c>
      <c r="O99" s="2">
        <f>BaseDeDatos!$M99*BaseDeDatos!$N99</f>
        <v>18200</v>
      </c>
    </row>
    <row r="100" spans="2:15">
      <c r="B100">
        <v>98</v>
      </c>
      <c r="C100" s="1">
        <v>44024</v>
      </c>
      <c r="D100">
        <v>1216202808</v>
      </c>
      <c r="E100" t="s">
        <v>42</v>
      </c>
      <c r="F100" t="s">
        <v>91</v>
      </c>
      <c r="G100" t="s">
        <v>91</v>
      </c>
      <c r="H100" t="s">
        <v>43</v>
      </c>
      <c r="I100" t="s">
        <v>16</v>
      </c>
      <c r="K100" t="s">
        <v>48</v>
      </c>
      <c r="L100" t="s">
        <v>49</v>
      </c>
      <c r="M100" s="2">
        <v>308</v>
      </c>
      <c r="N100" s="2">
        <v>30</v>
      </c>
      <c r="O100" s="2">
        <f>BaseDeDatos!$M100*BaseDeDatos!$N100</f>
        <v>9240</v>
      </c>
    </row>
    <row r="101" spans="2:15">
      <c r="B101">
        <v>99</v>
      </c>
      <c r="C101" s="1">
        <v>43934</v>
      </c>
      <c r="D101">
        <v>7167041532</v>
      </c>
      <c r="E101" t="s">
        <v>42</v>
      </c>
      <c r="F101" t="s">
        <v>91</v>
      </c>
      <c r="G101" t="s">
        <v>91</v>
      </c>
      <c r="H101" t="s">
        <v>43</v>
      </c>
      <c r="I101" t="s">
        <v>16</v>
      </c>
      <c r="K101" t="s">
        <v>26</v>
      </c>
      <c r="L101" t="s">
        <v>27</v>
      </c>
      <c r="M101" s="2">
        <v>128.79999999999998</v>
      </c>
      <c r="N101" s="2">
        <v>41</v>
      </c>
      <c r="O101" s="2">
        <f>BaseDeDatos!$M101*BaseDeDatos!$N101</f>
        <v>5280.7999999999993</v>
      </c>
    </row>
    <row r="102" spans="2:15">
      <c r="B102">
        <v>100</v>
      </c>
      <c r="C102" s="1">
        <v>44096</v>
      </c>
      <c r="D102">
        <v>2241191338</v>
      </c>
      <c r="E102" t="s">
        <v>50</v>
      </c>
      <c r="F102" t="s">
        <v>85</v>
      </c>
      <c r="G102" t="s">
        <v>83</v>
      </c>
      <c r="H102" t="s">
        <v>41</v>
      </c>
      <c r="I102" t="s">
        <v>25</v>
      </c>
      <c r="K102" t="s">
        <v>12</v>
      </c>
      <c r="L102" t="s">
        <v>13</v>
      </c>
      <c r="M102" s="2">
        <v>49</v>
      </c>
      <c r="N102" s="2">
        <v>44</v>
      </c>
      <c r="O102" s="2">
        <f>BaseDeDatos!$M102*BaseDeDatos!$N102</f>
        <v>2156</v>
      </c>
    </row>
    <row r="103" spans="2:15">
      <c r="B103">
        <v>101</v>
      </c>
      <c r="C103" s="1">
        <v>44106</v>
      </c>
      <c r="D103">
        <v>806264266</v>
      </c>
      <c r="E103" t="s">
        <v>50</v>
      </c>
      <c r="F103" t="s">
        <v>85</v>
      </c>
      <c r="G103" t="s">
        <v>83</v>
      </c>
      <c r="H103" t="s">
        <v>41</v>
      </c>
      <c r="I103" t="s">
        <v>25</v>
      </c>
      <c r="K103" t="s">
        <v>44</v>
      </c>
      <c r="L103" t="s">
        <v>11</v>
      </c>
      <c r="M103" s="2">
        <v>41.86</v>
      </c>
      <c r="N103" s="2">
        <v>77</v>
      </c>
      <c r="O103" s="2">
        <f>BaseDeDatos!$M103*BaseDeDatos!$N103</f>
        <v>3223.22</v>
      </c>
    </row>
    <row r="104" spans="2:15">
      <c r="B104">
        <v>102</v>
      </c>
      <c r="C104" s="1">
        <v>43902</v>
      </c>
      <c r="D104">
        <v>3820174684</v>
      </c>
      <c r="E104" t="s">
        <v>51</v>
      </c>
      <c r="F104" t="s">
        <v>90</v>
      </c>
      <c r="G104" t="s">
        <v>98</v>
      </c>
      <c r="H104" t="s">
        <v>24</v>
      </c>
      <c r="K104" t="s">
        <v>21</v>
      </c>
      <c r="L104" t="s">
        <v>11</v>
      </c>
      <c r="M104" s="2">
        <v>252</v>
      </c>
      <c r="N104" s="2">
        <v>29</v>
      </c>
      <c r="O104" s="2">
        <f>BaseDeDatos!$M104*BaseDeDatos!$N104</f>
        <v>7308</v>
      </c>
    </row>
    <row r="105" spans="2:15">
      <c r="B105">
        <v>103</v>
      </c>
      <c r="C105" s="1">
        <v>44074</v>
      </c>
      <c r="D105">
        <v>5541796483</v>
      </c>
      <c r="E105" t="s">
        <v>51</v>
      </c>
      <c r="F105" t="s">
        <v>90</v>
      </c>
      <c r="G105" t="s">
        <v>98</v>
      </c>
      <c r="H105" t="s">
        <v>24</v>
      </c>
      <c r="K105" t="s">
        <v>22</v>
      </c>
      <c r="L105" t="s">
        <v>11</v>
      </c>
      <c r="M105" s="2">
        <v>644</v>
      </c>
      <c r="N105" s="2">
        <v>77</v>
      </c>
      <c r="O105" s="2">
        <f>BaseDeDatos!$M105*BaseDeDatos!$N105</f>
        <v>49588</v>
      </c>
    </row>
    <row r="106" spans="2:15">
      <c r="B106">
        <v>104</v>
      </c>
      <c r="C106" s="1">
        <v>44025</v>
      </c>
      <c r="D106">
        <v>7096714976</v>
      </c>
      <c r="E106" t="s">
        <v>51</v>
      </c>
      <c r="F106" t="s">
        <v>90</v>
      </c>
      <c r="G106" t="s">
        <v>98</v>
      </c>
      <c r="H106" t="s">
        <v>24</v>
      </c>
      <c r="K106" t="s">
        <v>44</v>
      </c>
      <c r="L106" t="s">
        <v>11</v>
      </c>
      <c r="M106" s="2">
        <v>41.86</v>
      </c>
      <c r="N106" s="2">
        <v>73</v>
      </c>
      <c r="O106" s="2">
        <f>BaseDeDatos!$M106*BaseDeDatos!$N106</f>
        <v>3055.7799999999997</v>
      </c>
    </row>
    <row r="107" spans="2:15">
      <c r="B107">
        <v>105</v>
      </c>
      <c r="C107" s="1">
        <v>44160</v>
      </c>
      <c r="D107">
        <v>2543114862</v>
      </c>
      <c r="E107" t="s">
        <v>40</v>
      </c>
      <c r="F107" t="s">
        <v>97</v>
      </c>
      <c r="G107" t="s">
        <v>88</v>
      </c>
      <c r="H107" t="s">
        <v>41</v>
      </c>
      <c r="I107" t="s">
        <v>25</v>
      </c>
      <c r="J107" t="s">
        <v>17</v>
      </c>
      <c r="K107" t="s">
        <v>34</v>
      </c>
      <c r="L107" t="s">
        <v>35</v>
      </c>
      <c r="M107" s="2">
        <v>135.1</v>
      </c>
      <c r="N107" s="2">
        <v>74</v>
      </c>
      <c r="O107" s="2">
        <f>BaseDeDatos!$M107*BaseDeDatos!$N107</f>
        <v>9997.4</v>
      </c>
    </row>
    <row r="108" spans="2:15">
      <c r="B108">
        <v>106</v>
      </c>
      <c r="C108" s="1">
        <v>44070</v>
      </c>
      <c r="D108">
        <v>6501127347</v>
      </c>
      <c r="E108" t="s">
        <v>40</v>
      </c>
      <c r="F108" t="s">
        <v>97</v>
      </c>
      <c r="G108" t="s">
        <v>88</v>
      </c>
      <c r="H108" t="s">
        <v>41</v>
      </c>
      <c r="I108" t="s">
        <v>25</v>
      </c>
      <c r="J108" t="s">
        <v>17</v>
      </c>
      <c r="K108" t="s">
        <v>52</v>
      </c>
      <c r="L108" t="s">
        <v>53</v>
      </c>
      <c r="M108" s="2">
        <v>257.59999999999997</v>
      </c>
      <c r="N108" s="2">
        <v>25</v>
      </c>
      <c r="O108" s="2">
        <f>BaseDeDatos!$M108*BaseDeDatos!$N108</f>
        <v>6439.9999999999991</v>
      </c>
    </row>
    <row r="109" spans="2:15">
      <c r="B109">
        <v>107</v>
      </c>
      <c r="C109" s="1">
        <v>43947</v>
      </c>
      <c r="D109">
        <v>1322296163</v>
      </c>
      <c r="E109" t="s">
        <v>54</v>
      </c>
      <c r="F109" t="s">
        <v>89</v>
      </c>
      <c r="G109" t="s">
        <v>84</v>
      </c>
      <c r="H109" t="s">
        <v>55</v>
      </c>
      <c r="I109" t="s">
        <v>16</v>
      </c>
      <c r="J109" t="s">
        <v>9</v>
      </c>
      <c r="K109" t="s">
        <v>56</v>
      </c>
      <c r="L109" t="s">
        <v>57</v>
      </c>
      <c r="M109" s="2">
        <v>273</v>
      </c>
      <c r="N109" s="2">
        <v>82</v>
      </c>
      <c r="O109" s="2">
        <f>BaseDeDatos!$M109*BaseDeDatos!$N109</f>
        <v>22386</v>
      </c>
    </row>
    <row r="110" spans="2:15">
      <c r="B110">
        <v>108</v>
      </c>
      <c r="C110" s="1">
        <v>44122</v>
      </c>
      <c r="D110">
        <v>5162222472</v>
      </c>
      <c r="E110" t="s">
        <v>54</v>
      </c>
      <c r="F110" t="s">
        <v>89</v>
      </c>
      <c r="G110" t="s">
        <v>84</v>
      </c>
      <c r="H110" t="s">
        <v>55</v>
      </c>
      <c r="I110" t="s">
        <v>16</v>
      </c>
      <c r="J110" t="s">
        <v>9</v>
      </c>
      <c r="K110" t="s">
        <v>58</v>
      </c>
      <c r="L110" t="s">
        <v>59</v>
      </c>
      <c r="M110" s="2">
        <v>487.19999999999993</v>
      </c>
      <c r="N110" s="2">
        <v>37</v>
      </c>
      <c r="O110" s="2">
        <f>BaseDeDatos!$M110*BaseDeDatos!$N110</f>
        <v>18026.399999999998</v>
      </c>
    </row>
    <row r="111" spans="2:15">
      <c r="B111">
        <v>109</v>
      </c>
      <c r="C111" s="1">
        <v>44103</v>
      </c>
      <c r="D111">
        <v>5752777715</v>
      </c>
      <c r="E111" t="s">
        <v>36</v>
      </c>
      <c r="F111" t="s">
        <v>92</v>
      </c>
      <c r="G111" t="s">
        <v>99</v>
      </c>
      <c r="H111" t="s">
        <v>37</v>
      </c>
      <c r="I111" t="s">
        <v>8</v>
      </c>
      <c r="J111" t="s">
        <v>17</v>
      </c>
      <c r="K111" t="s">
        <v>10</v>
      </c>
      <c r="L111" t="s">
        <v>11</v>
      </c>
      <c r="M111" s="2">
        <v>196</v>
      </c>
      <c r="N111" s="2">
        <v>84</v>
      </c>
      <c r="O111" s="2">
        <f>BaseDeDatos!$M111*BaseDeDatos!$N111</f>
        <v>16464</v>
      </c>
    </row>
    <row r="112" spans="2:15">
      <c r="B112">
        <v>110</v>
      </c>
      <c r="C112" s="1">
        <v>44024</v>
      </c>
      <c r="D112">
        <v>2261700341</v>
      </c>
      <c r="E112" t="s">
        <v>23</v>
      </c>
      <c r="F112" t="s">
        <v>86</v>
      </c>
      <c r="G112" t="s">
        <v>82</v>
      </c>
      <c r="H112" t="s">
        <v>24</v>
      </c>
      <c r="I112" t="s">
        <v>8</v>
      </c>
      <c r="J112" t="s">
        <v>9</v>
      </c>
      <c r="K112" t="s">
        <v>38</v>
      </c>
      <c r="L112" t="s">
        <v>39</v>
      </c>
      <c r="M112" s="2">
        <v>560</v>
      </c>
      <c r="N112" s="2">
        <v>73</v>
      </c>
      <c r="O112" s="2">
        <f>BaseDeDatos!$M112*BaseDeDatos!$N112</f>
        <v>40880</v>
      </c>
    </row>
    <row r="113" spans="2:15">
      <c r="B113">
        <v>111</v>
      </c>
      <c r="C113" s="1">
        <v>44073</v>
      </c>
      <c r="D113">
        <v>9950546196</v>
      </c>
      <c r="E113" t="s">
        <v>23</v>
      </c>
      <c r="F113" t="s">
        <v>86</v>
      </c>
      <c r="G113" t="s">
        <v>82</v>
      </c>
      <c r="H113" t="s">
        <v>24</v>
      </c>
      <c r="I113" t="s">
        <v>8</v>
      </c>
      <c r="J113" t="s">
        <v>9</v>
      </c>
      <c r="K113" t="s">
        <v>26</v>
      </c>
      <c r="L113" t="s">
        <v>27</v>
      </c>
      <c r="M113" s="2">
        <v>128.79999999999998</v>
      </c>
      <c r="N113" s="2">
        <v>51</v>
      </c>
      <c r="O113" s="2">
        <f>BaseDeDatos!$M113*BaseDeDatos!$N113</f>
        <v>6568.7999999999993</v>
      </c>
    </row>
    <row r="114" spans="2:15">
      <c r="B114">
        <v>112</v>
      </c>
      <c r="C114" s="1">
        <v>44191</v>
      </c>
      <c r="D114">
        <v>9911266011</v>
      </c>
      <c r="E114" t="s">
        <v>62</v>
      </c>
      <c r="F114" t="s">
        <v>91</v>
      </c>
      <c r="G114" t="s">
        <v>91</v>
      </c>
      <c r="H114" t="s">
        <v>43</v>
      </c>
      <c r="I114" t="s">
        <v>16</v>
      </c>
      <c r="J114" t="s">
        <v>33</v>
      </c>
      <c r="K114" t="s">
        <v>67</v>
      </c>
      <c r="L114" t="s">
        <v>27</v>
      </c>
      <c r="M114" s="2">
        <v>140</v>
      </c>
      <c r="N114" s="2">
        <v>66</v>
      </c>
      <c r="O114" s="2">
        <f>BaseDeDatos!$M114*BaseDeDatos!$N114</f>
        <v>9240</v>
      </c>
    </row>
    <row r="115" spans="2:15">
      <c r="B115">
        <v>113</v>
      </c>
      <c r="C115" s="1">
        <v>44183</v>
      </c>
      <c r="D115">
        <v>8455987495</v>
      </c>
      <c r="E115" t="s">
        <v>63</v>
      </c>
      <c r="F115" t="s">
        <v>85</v>
      </c>
      <c r="G115" t="s">
        <v>83</v>
      </c>
      <c r="H115" t="s">
        <v>41</v>
      </c>
      <c r="I115" t="s">
        <v>25</v>
      </c>
      <c r="J115" t="s">
        <v>17</v>
      </c>
      <c r="K115" t="s">
        <v>68</v>
      </c>
      <c r="L115" t="s">
        <v>69</v>
      </c>
      <c r="M115" s="2">
        <v>298.90000000000003</v>
      </c>
      <c r="N115" s="2">
        <v>36</v>
      </c>
      <c r="O115" s="2">
        <f>BaseDeDatos!$M115*BaseDeDatos!$N115</f>
        <v>10760.400000000001</v>
      </c>
    </row>
    <row r="116" spans="2:15">
      <c r="B116">
        <v>114</v>
      </c>
      <c r="C116" s="1">
        <v>43966</v>
      </c>
      <c r="D116">
        <v>6668567210</v>
      </c>
      <c r="E116" t="s">
        <v>63</v>
      </c>
      <c r="F116" t="s">
        <v>85</v>
      </c>
      <c r="G116" t="s">
        <v>83</v>
      </c>
      <c r="H116" t="s">
        <v>41</v>
      </c>
      <c r="I116" t="s">
        <v>25</v>
      </c>
      <c r="J116" t="s">
        <v>17</v>
      </c>
      <c r="K116" t="s">
        <v>34</v>
      </c>
      <c r="L116" t="s">
        <v>35</v>
      </c>
      <c r="M116" s="2">
        <v>135.1</v>
      </c>
      <c r="N116" s="2">
        <v>87</v>
      </c>
      <c r="O116" s="2">
        <f>BaseDeDatos!$M116*BaseDeDatos!$N116</f>
        <v>11753.699999999999</v>
      </c>
    </row>
    <row r="117" spans="2:15">
      <c r="B117">
        <v>115</v>
      </c>
      <c r="C117" s="1">
        <v>44019</v>
      </c>
      <c r="D117">
        <v>9528620750</v>
      </c>
      <c r="E117" t="s">
        <v>63</v>
      </c>
      <c r="F117" t="s">
        <v>85</v>
      </c>
      <c r="G117" t="s">
        <v>83</v>
      </c>
      <c r="H117" t="s">
        <v>41</v>
      </c>
      <c r="I117" t="s">
        <v>25</v>
      </c>
      <c r="J117" t="s">
        <v>17</v>
      </c>
      <c r="K117" t="s">
        <v>52</v>
      </c>
      <c r="L117" t="s">
        <v>53</v>
      </c>
      <c r="M117" s="2">
        <v>257.59999999999997</v>
      </c>
      <c r="N117" s="2">
        <v>64</v>
      </c>
      <c r="O117" s="2">
        <f>BaseDeDatos!$M117*BaseDeDatos!$N117</f>
        <v>16486.399999999998</v>
      </c>
    </row>
    <row r="118" spans="2:15">
      <c r="B118">
        <v>116</v>
      </c>
      <c r="C118" s="1">
        <v>43876</v>
      </c>
      <c r="D118">
        <v>1951835035</v>
      </c>
      <c r="E118" t="s">
        <v>28</v>
      </c>
      <c r="F118" t="s">
        <v>89</v>
      </c>
      <c r="G118" t="s">
        <v>84</v>
      </c>
      <c r="H118" t="s">
        <v>29</v>
      </c>
      <c r="I118" t="s">
        <v>8</v>
      </c>
      <c r="J118" t="s">
        <v>9</v>
      </c>
      <c r="K118" t="s">
        <v>10</v>
      </c>
      <c r="L118" t="s">
        <v>11</v>
      </c>
      <c r="M118" s="2">
        <v>196</v>
      </c>
      <c r="N118" s="2">
        <v>21</v>
      </c>
      <c r="O118" s="2">
        <f>BaseDeDatos!$M118*BaseDeDatos!$N118</f>
        <v>4116</v>
      </c>
    </row>
    <row r="119" spans="2:15">
      <c r="B119">
        <v>117</v>
      </c>
      <c r="C119" s="1">
        <v>44101</v>
      </c>
      <c r="D119">
        <v>8464805926</v>
      </c>
      <c r="E119" t="s">
        <v>36</v>
      </c>
      <c r="F119" t="s">
        <v>92</v>
      </c>
      <c r="G119" t="s">
        <v>99</v>
      </c>
      <c r="H119" t="s">
        <v>37</v>
      </c>
      <c r="I119" t="s">
        <v>25</v>
      </c>
      <c r="J119" t="s">
        <v>9</v>
      </c>
      <c r="K119" t="s">
        <v>30</v>
      </c>
      <c r="L119" t="s">
        <v>31</v>
      </c>
      <c r="M119" s="2">
        <v>178.5</v>
      </c>
      <c r="N119" s="2">
        <v>19</v>
      </c>
      <c r="O119" s="2">
        <f>BaseDeDatos!$M119*BaseDeDatos!$N119</f>
        <v>3391.5</v>
      </c>
    </row>
    <row r="120" spans="2:15">
      <c r="B120">
        <v>118</v>
      </c>
      <c r="C120" s="1">
        <v>44094</v>
      </c>
      <c r="D120">
        <v>1040241832</v>
      </c>
      <c r="E120" t="s">
        <v>14</v>
      </c>
      <c r="F120" t="s">
        <v>81</v>
      </c>
      <c r="G120" t="s">
        <v>94</v>
      </c>
      <c r="H120" t="s">
        <v>15</v>
      </c>
      <c r="I120" t="s">
        <v>16</v>
      </c>
      <c r="J120" t="s">
        <v>17</v>
      </c>
      <c r="K120" t="s">
        <v>70</v>
      </c>
      <c r="L120" t="s">
        <v>47</v>
      </c>
      <c r="M120" s="2">
        <v>1134</v>
      </c>
      <c r="N120" s="2">
        <v>23</v>
      </c>
      <c r="O120" s="2">
        <f>BaseDeDatos!$M120*BaseDeDatos!$N120</f>
        <v>26082</v>
      </c>
    </row>
    <row r="121" spans="2:15">
      <c r="B121">
        <v>119</v>
      </c>
      <c r="C121" s="1">
        <v>44157</v>
      </c>
      <c r="D121">
        <v>5032769390</v>
      </c>
      <c r="E121" t="s">
        <v>14</v>
      </c>
      <c r="F121" t="s">
        <v>81</v>
      </c>
      <c r="G121" t="s">
        <v>94</v>
      </c>
      <c r="H121" t="s">
        <v>15</v>
      </c>
      <c r="I121" t="s">
        <v>16</v>
      </c>
      <c r="J121" t="s">
        <v>17</v>
      </c>
      <c r="K121" t="s">
        <v>71</v>
      </c>
      <c r="L121" t="s">
        <v>72</v>
      </c>
      <c r="M121" s="2">
        <v>98</v>
      </c>
      <c r="N121" s="2">
        <v>72</v>
      </c>
      <c r="O121" s="2">
        <f>BaseDeDatos!$M121*BaseDeDatos!$N121</f>
        <v>7056</v>
      </c>
    </row>
    <row r="122" spans="2:15">
      <c r="B122">
        <v>120</v>
      </c>
      <c r="C122" s="1">
        <v>43916</v>
      </c>
      <c r="D122">
        <v>5375997402</v>
      </c>
      <c r="E122" t="s">
        <v>23</v>
      </c>
      <c r="F122" t="s">
        <v>86</v>
      </c>
      <c r="G122" t="s">
        <v>82</v>
      </c>
      <c r="H122" t="s">
        <v>24</v>
      </c>
      <c r="I122" t="s">
        <v>25</v>
      </c>
      <c r="J122" t="s">
        <v>17</v>
      </c>
      <c r="K122" t="s">
        <v>58</v>
      </c>
      <c r="L122" t="s">
        <v>59</v>
      </c>
      <c r="M122" s="2">
        <v>487.19999999999993</v>
      </c>
      <c r="N122" s="2">
        <v>22</v>
      </c>
      <c r="O122" s="2">
        <f>BaseDeDatos!$M122*BaseDeDatos!$N122</f>
        <v>10718.399999999998</v>
      </c>
    </row>
    <row r="123" spans="2:15">
      <c r="B123">
        <v>121</v>
      </c>
      <c r="C123" s="1">
        <v>43837</v>
      </c>
      <c r="D123">
        <v>967566383</v>
      </c>
      <c r="E123" t="s">
        <v>32</v>
      </c>
      <c r="F123" t="s">
        <v>93</v>
      </c>
      <c r="G123" t="s">
        <v>96</v>
      </c>
      <c r="H123" t="s">
        <v>7</v>
      </c>
      <c r="I123" t="s">
        <v>8</v>
      </c>
      <c r="J123" t="s">
        <v>33</v>
      </c>
      <c r="K123" t="s">
        <v>60</v>
      </c>
      <c r="L123" t="s">
        <v>49</v>
      </c>
      <c r="M123" s="2">
        <v>140</v>
      </c>
      <c r="N123" s="2">
        <v>82</v>
      </c>
      <c r="O123" s="2">
        <f>BaseDeDatos!$M123*BaseDeDatos!$N123</f>
        <v>11480</v>
      </c>
    </row>
    <row r="124" spans="2:15">
      <c r="B124">
        <v>122</v>
      </c>
      <c r="C124" s="1">
        <v>44042</v>
      </c>
      <c r="D124">
        <v>7607007457</v>
      </c>
      <c r="E124" t="s">
        <v>32</v>
      </c>
      <c r="F124" t="s">
        <v>93</v>
      </c>
      <c r="G124" t="s">
        <v>96</v>
      </c>
      <c r="H124" t="s">
        <v>7</v>
      </c>
      <c r="I124" t="s">
        <v>8</v>
      </c>
      <c r="J124" t="s">
        <v>33</v>
      </c>
      <c r="K124" t="s">
        <v>38</v>
      </c>
      <c r="L124" t="s">
        <v>39</v>
      </c>
      <c r="M124" s="2">
        <v>560</v>
      </c>
      <c r="N124" s="2">
        <v>98</v>
      </c>
      <c r="O124" s="2">
        <f>BaseDeDatos!$M124*BaseDeDatos!$N124</f>
        <v>54880</v>
      </c>
    </row>
    <row r="125" spans="2:15">
      <c r="B125">
        <v>123</v>
      </c>
      <c r="C125" s="1">
        <v>44092</v>
      </c>
      <c r="D125">
        <v>6139722497</v>
      </c>
      <c r="E125" t="s">
        <v>45</v>
      </c>
      <c r="F125" t="s">
        <v>87</v>
      </c>
      <c r="G125" t="s">
        <v>87</v>
      </c>
      <c r="H125" t="s">
        <v>24</v>
      </c>
      <c r="K125" t="s">
        <v>22</v>
      </c>
      <c r="L125" t="s">
        <v>11</v>
      </c>
      <c r="M125" s="2">
        <v>644</v>
      </c>
      <c r="N125" s="2">
        <v>71</v>
      </c>
      <c r="O125" s="2">
        <f>BaseDeDatos!$M125*BaseDeDatos!$N125</f>
        <v>45724</v>
      </c>
    </row>
    <row r="126" spans="2:15">
      <c r="B126">
        <v>124</v>
      </c>
      <c r="C126" s="1">
        <v>43924</v>
      </c>
      <c r="D126">
        <v>6071133871</v>
      </c>
      <c r="E126" t="s">
        <v>42</v>
      </c>
      <c r="F126" t="s">
        <v>91</v>
      </c>
      <c r="G126" t="s">
        <v>91</v>
      </c>
      <c r="H126" t="s">
        <v>43</v>
      </c>
      <c r="I126" t="s">
        <v>16</v>
      </c>
      <c r="K126" t="s">
        <v>46</v>
      </c>
      <c r="L126" t="s">
        <v>47</v>
      </c>
      <c r="M126" s="2">
        <v>350</v>
      </c>
      <c r="N126" s="2">
        <v>40</v>
      </c>
      <c r="O126" s="2">
        <f>BaseDeDatos!$M126*BaseDeDatos!$N126</f>
        <v>14000</v>
      </c>
    </row>
    <row r="127" spans="2:15">
      <c r="B127">
        <v>125</v>
      </c>
      <c r="C127" s="1">
        <v>43887</v>
      </c>
      <c r="D127">
        <v>8634772142</v>
      </c>
      <c r="E127" t="s">
        <v>42</v>
      </c>
      <c r="F127" t="s">
        <v>91</v>
      </c>
      <c r="G127" t="s">
        <v>91</v>
      </c>
      <c r="H127" t="s">
        <v>43</v>
      </c>
      <c r="I127" t="s">
        <v>16</v>
      </c>
      <c r="K127" t="s">
        <v>48</v>
      </c>
      <c r="L127" t="s">
        <v>49</v>
      </c>
      <c r="M127" s="2">
        <v>308</v>
      </c>
      <c r="N127" s="2">
        <v>80</v>
      </c>
      <c r="O127" s="2">
        <f>BaseDeDatos!$M127*BaseDeDatos!$N127</f>
        <v>24640</v>
      </c>
    </row>
    <row r="128" spans="2:15">
      <c r="B128">
        <v>126</v>
      </c>
      <c r="C128" s="1">
        <v>44080</v>
      </c>
      <c r="D128">
        <v>5431718510</v>
      </c>
      <c r="E128" t="s">
        <v>42</v>
      </c>
      <c r="F128" t="s">
        <v>91</v>
      </c>
      <c r="G128" t="s">
        <v>91</v>
      </c>
      <c r="H128" t="s">
        <v>43</v>
      </c>
      <c r="I128" t="s">
        <v>16</v>
      </c>
      <c r="K128" t="s">
        <v>26</v>
      </c>
      <c r="L128" t="s">
        <v>27</v>
      </c>
      <c r="M128" s="2">
        <v>128.79999999999998</v>
      </c>
      <c r="N128" s="2">
        <v>38</v>
      </c>
      <c r="O128" s="2">
        <f>BaseDeDatos!$M128*BaseDeDatos!$N128</f>
        <v>4894.3999999999996</v>
      </c>
    </row>
    <row r="129" spans="2:15">
      <c r="B129">
        <v>127</v>
      </c>
      <c r="C129" s="1">
        <v>44093</v>
      </c>
      <c r="D129">
        <v>7109276915</v>
      </c>
      <c r="E129" t="s">
        <v>50</v>
      </c>
      <c r="F129" t="s">
        <v>85</v>
      </c>
      <c r="G129" t="s">
        <v>83</v>
      </c>
      <c r="H129" t="s">
        <v>41</v>
      </c>
      <c r="I129" t="s">
        <v>25</v>
      </c>
      <c r="K129" t="s">
        <v>12</v>
      </c>
      <c r="L129" t="s">
        <v>13</v>
      </c>
      <c r="M129" s="2">
        <v>49</v>
      </c>
      <c r="N129" s="2">
        <v>28</v>
      </c>
      <c r="O129" s="2">
        <f>BaseDeDatos!$M129*BaseDeDatos!$N129</f>
        <v>1372</v>
      </c>
    </row>
    <row r="130" spans="2:15">
      <c r="B130">
        <v>128</v>
      </c>
      <c r="C130" s="1">
        <v>44119</v>
      </c>
      <c r="D130">
        <v>8479136081</v>
      </c>
      <c r="E130" t="s">
        <v>50</v>
      </c>
      <c r="F130" t="s">
        <v>85</v>
      </c>
      <c r="G130" t="s">
        <v>83</v>
      </c>
      <c r="H130" t="s">
        <v>41</v>
      </c>
      <c r="I130" t="s">
        <v>25</v>
      </c>
      <c r="K130" t="s">
        <v>44</v>
      </c>
      <c r="L130" t="s">
        <v>11</v>
      </c>
      <c r="M130" s="2">
        <v>41.86</v>
      </c>
      <c r="N130" s="2">
        <v>60</v>
      </c>
      <c r="O130" s="2">
        <f>BaseDeDatos!$M130*BaseDeDatos!$N130</f>
        <v>2511.6</v>
      </c>
    </row>
    <row r="131" spans="2:15">
      <c r="B131">
        <v>129</v>
      </c>
      <c r="C131" s="1">
        <v>44146</v>
      </c>
      <c r="D131">
        <v>7132355278</v>
      </c>
      <c r="E131" t="s">
        <v>51</v>
      </c>
      <c r="F131" t="s">
        <v>90</v>
      </c>
      <c r="G131" t="s">
        <v>98</v>
      </c>
      <c r="H131" t="s">
        <v>24</v>
      </c>
      <c r="K131" t="s">
        <v>21</v>
      </c>
      <c r="L131" t="s">
        <v>11</v>
      </c>
      <c r="M131" s="2">
        <v>252</v>
      </c>
      <c r="N131" s="2">
        <v>33</v>
      </c>
      <c r="O131" s="2">
        <f>BaseDeDatos!$M131*BaseDeDatos!$N131</f>
        <v>8316</v>
      </c>
    </row>
    <row r="132" spans="2:15">
      <c r="B132">
        <v>130</v>
      </c>
      <c r="C132" s="1">
        <v>44017</v>
      </c>
      <c r="D132">
        <v>2885792785</v>
      </c>
      <c r="E132" t="s">
        <v>51</v>
      </c>
      <c r="F132" t="s">
        <v>90</v>
      </c>
      <c r="G132" t="s">
        <v>98</v>
      </c>
      <c r="H132" t="s">
        <v>24</v>
      </c>
      <c r="K132" t="s">
        <v>22</v>
      </c>
      <c r="L132" t="s">
        <v>11</v>
      </c>
      <c r="M132" s="2">
        <v>644</v>
      </c>
      <c r="N132" s="2">
        <v>22</v>
      </c>
      <c r="O132" s="2">
        <f>BaseDeDatos!$M132*BaseDeDatos!$N132</f>
        <v>14168</v>
      </c>
    </row>
    <row r="133" spans="2:15">
      <c r="B133">
        <v>131</v>
      </c>
      <c r="C133" s="1">
        <v>44085</v>
      </c>
      <c r="D133">
        <v>3723941023</v>
      </c>
      <c r="E133" t="s">
        <v>51</v>
      </c>
      <c r="F133" t="s">
        <v>90</v>
      </c>
      <c r="G133" t="s">
        <v>98</v>
      </c>
      <c r="H133" t="s">
        <v>24</v>
      </c>
      <c r="K133" t="s">
        <v>44</v>
      </c>
      <c r="L133" t="s">
        <v>11</v>
      </c>
      <c r="M133" s="2">
        <v>41.86</v>
      </c>
      <c r="N133" s="2">
        <v>51</v>
      </c>
      <c r="O133" s="2">
        <f>BaseDeDatos!$M133*BaseDeDatos!$N133</f>
        <v>2134.86</v>
      </c>
    </row>
    <row r="134" spans="2:15">
      <c r="B134">
        <v>132</v>
      </c>
      <c r="C134" s="1">
        <v>43943</v>
      </c>
      <c r="D134">
        <v>4827836337</v>
      </c>
      <c r="E134" t="s">
        <v>40</v>
      </c>
      <c r="F134" t="s">
        <v>97</v>
      </c>
      <c r="G134" t="s">
        <v>88</v>
      </c>
      <c r="H134" t="s">
        <v>41</v>
      </c>
      <c r="I134" t="s">
        <v>25</v>
      </c>
      <c r="J134" t="s">
        <v>17</v>
      </c>
      <c r="K134" t="s">
        <v>34</v>
      </c>
      <c r="L134" t="s">
        <v>35</v>
      </c>
      <c r="M134" s="2">
        <v>135.1</v>
      </c>
      <c r="N134" s="2">
        <v>60</v>
      </c>
      <c r="O134" s="2">
        <f>BaseDeDatos!$M134*BaseDeDatos!$N134</f>
        <v>8106</v>
      </c>
    </row>
    <row r="135" spans="2:15">
      <c r="B135">
        <v>133</v>
      </c>
      <c r="C135" s="1">
        <v>44057</v>
      </c>
      <c r="D135">
        <v>2633840866</v>
      </c>
      <c r="E135" t="s">
        <v>40</v>
      </c>
      <c r="F135" t="s">
        <v>97</v>
      </c>
      <c r="G135" t="s">
        <v>88</v>
      </c>
      <c r="H135" t="s">
        <v>41</v>
      </c>
      <c r="I135" t="s">
        <v>25</v>
      </c>
      <c r="J135" t="s">
        <v>17</v>
      </c>
      <c r="K135" t="s">
        <v>52</v>
      </c>
      <c r="L135" t="s">
        <v>53</v>
      </c>
      <c r="M135" s="2">
        <v>257.59999999999997</v>
      </c>
      <c r="N135" s="2">
        <v>98</v>
      </c>
      <c r="O135" s="2">
        <f>BaseDeDatos!$M135*BaseDeDatos!$N135</f>
        <v>25244.799999999996</v>
      </c>
    </row>
    <row r="136" spans="2:15">
      <c r="B136">
        <v>134</v>
      </c>
      <c r="C136" s="1">
        <v>43929</v>
      </c>
      <c r="D136">
        <v>2489359003</v>
      </c>
      <c r="E136" t="s">
        <v>54</v>
      </c>
      <c r="F136" t="s">
        <v>89</v>
      </c>
      <c r="G136" t="s">
        <v>84</v>
      </c>
      <c r="H136" t="s">
        <v>55</v>
      </c>
      <c r="I136" t="s">
        <v>16</v>
      </c>
      <c r="J136" t="s">
        <v>9</v>
      </c>
      <c r="K136" t="s">
        <v>56</v>
      </c>
      <c r="L136" t="s">
        <v>57</v>
      </c>
      <c r="M136" s="2">
        <v>273</v>
      </c>
      <c r="N136" s="2">
        <v>27</v>
      </c>
      <c r="O136" s="2">
        <f>BaseDeDatos!$M136*BaseDeDatos!$N136</f>
        <v>7371</v>
      </c>
    </row>
    <row r="137" spans="2:15">
      <c r="B137">
        <v>135</v>
      </c>
      <c r="C137" s="1">
        <v>43986</v>
      </c>
      <c r="D137">
        <v>2347277376</v>
      </c>
      <c r="E137" t="s">
        <v>54</v>
      </c>
      <c r="F137" t="s">
        <v>89</v>
      </c>
      <c r="G137" t="s">
        <v>84</v>
      </c>
      <c r="H137" t="s">
        <v>55</v>
      </c>
      <c r="I137" t="s">
        <v>16</v>
      </c>
      <c r="J137" t="s">
        <v>9</v>
      </c>
      <c r="K137" t="s">
        <v>58</v>
      </c>
      <c r="L137" t="s">
        <v>59</v>
      </c>
      <c r="M137" s="2">
        <v>487.19999999999993</v>
      </c>
      <c r="N137" s="2">
        <v>88</v>
      </c>
      <c r="O137" s="2">
        <f>BaseDeDatos!$M137*BaseDeDatos!$N137</f>
        <v>42873.599999999991</v>
      </c>
    </row>
    <row r="138" spans="2:15">
      <c r="B138">
        <v>136</v>
      </c>
      <c r="C138" s="1">
        <v>44058</v>
      </c>
      <c r="D138">
        <v>2071690973</v>
      </c>
      <c r="E138" t="s">
        <v>36</v>
      </c>
      <c r="F138" t="s">
        <v>92</v>
      </c>
      <c r="G138" t="s">
        <v>99</v>
      </c>
      <c r="H138" t="s">
        <v>37</v>
      </c>
      <c r="I138" t="s">
        <v>8</v>
      </c>
      <c r="J138" t="s">
        <v>17</v>
      </c>
      <c r="K138" t="s">
        <v>10</v>
      </c>
      <c r="L138" t="s">
        <v>11</v>
      </c>
      <c r="M138" s="2">
        <v>196</v>
      </c>
      <c r="N138" s="2">
        <v>65</v>
      </c>
      <c r="O138" s="2">
        <f>BaseDeDatos!$M138*BaseDeDatos!$N138</f>
        <v>12740</v>
      </c>
    </row>
    <row r="139" spans="2:15">
      <c r="B139">
        <v>137</v>
      </c>
      <c r="C139" s="1">
        <v>44047</v>
      </c>
      <c r="D139">
        <v>1196729221</v>
      </c>
      <c r="E139" t="s">
        <v>23</v>
      </c>
      <c r="F139" t="s">
        <v>86</v>
      </c>
      <c r="G139" t="s">
        <v>82</v>
      </c>
      <c r="H139" t="s">
        <v>24</v>
      </c>
      <c r="I139" t="s">
        <v>8</v>
      </c>
      <c r="J139" t="s">
        <v>9</v>
      </c>
      <c r="K139" t="s">
        <v>38</v>
      </c>
      <c r="L139" t="s">
        <v>39</v>
      </c>
      <c r="M139" s="2">
        <v>560</v>
      </c>
      <c r="N139" s="2">
        <v>38</v>
      </c>
      <c r="O139" s="2">
        <f>BaseDeDatos!$M139*BaseDeDatos!$N139</f>
        <v>21280</v>
      </c>
    </row>
    <row r="140" spans="2:15">
      <c r="B140">
        <v>138</v>
      </c>
      <c r="C140" s="1">
        <v>43948</v>
      </c>
      <c r="D140">
        <v>9020365601</v>
      </c>
      <c r="E140" t="s">
        <v>23</v>
      </c>
      <c r="F140" t="s">
        <v>86</v>
      </c>
      <c r="G140" t="s">
        <v>82</v>
      </c>
      <c r="H140" t="s">
        <v>24</v>
      </c>
      <c r="I140" t="s">
        <v>8</v>
      </c>
      <c r="J140" t="s">
        <v>9</v>
      </c>
      <c r="K140" t="s">
        <v>26</v>
      </c>
      <c r="L140" t="s">
        <v>27</v>
      </c>
      <c r="M140" s="2">
        <v>128.79999999999998</v>
      </c>
      <c r="N140" s="2">
        <v>80</v>
      </c>
      <c r="O140" s="2">
        <f>BaseDeDatos!$M140*BaseDeDatos!$N140</f>
        <v>10303.999999999998</v>
      </c>
    </row>
    <row r="141" spans="2:15">
      <c r="B141">
        <v>139</v>
      </c>
      <c r="C141" s="1">
        <v>44054</v>
      </c>
      <c r="D141">
        <v>4818692078</v>
      </c>
      <c r="E141" t="s">
        <v>62</v>
      </c>
      <c r="F141" t="s">
        <v>91</v>
      </c>
      <c r="G141" t="s">
        <v>91</v>
      </c>
      <c r="H141" t="s">
        <v>43</v>
      </c>
      <c r="I141" t="s">
        <v>16</v>
      </c>
      <c r="J141" t="s">
        <v>33</v>
      </c>
      <c r="K141" t="s">
        <v>67</v>
      </c>
      <c r="L141" t="s">
        <v>27</v>
      </c>
      <c r="M141" s="2">
        <v>140</v>
      </c>
      <c r="N141" s="2">
        <v>49</v>
      </c>
      <c r="O141" s="2">
        <f>BaseDeDatos!$M141*BaseDeDatos!$N141</f>
        <v>6860</v>
      </c>
    </row>
    <row r="142" spans="2:15">
      <c r="B142">
        <v>140</v>
      </c>
      <c r="C142" s="1">
        <v>44120</v>
      </c>
      <c r="D142">
        <v>6502762369</v>
      </c>
      <c r="E142" t="s">
        <v>63</v>
      </c>
      <c r="F142" t="s">
        <v>85</v>
      </c>
      <c r="G142" t="s">
        <v>83</v>
      </c>
      <c r="H142" t="s">
        <v>41</v>
      </c>
      <c r="I142" t="s">
        <v>25</v>
      </c>
      <c r="J142" t="s">
        <v>17</v>
      </c>
      <c r="K142" t="s">
        <v>68</v>
      </c>
      <c r="L142" t="s">
        <v>69</v>
      </c>
      <c r="M142" s="2">
        <v>298.90000000000003</v>
      </c>
      <c r="N142" s="2">
        <v>90</v>
      </c>
      <c r="O142" s="2">
        <f>BaseDeDatos!$M142*BaseDeDatos!$N142</f>
        <v>26901.000000000004</v>
      </c>
    </row>
    <row r="143" spans="2:15">
      <c r="B143">
        <v>141</v>
      </c>
      <c r="C143" s="1">
        <v>43846</v>
      </c>
      <c r="D143">
        <v>924402492</v>
      </c>
      <c r="E143" t="s">
        <v>63</v>
      </c>
      <c r="F143" t="s">
        <v>85</v>
      </c>
      <c r="G143" t="s">
        <v>83</v>
      </c>
      <c r="H143" t="s">
        <v>41</v>
      </c>
      <c r="I143" t="s">
        <v>25</v>
      </c>
      <c r="J143" t="s">
        <v>17</v>
      </c>
      <c r="K143" t="s">
        <v>34</v>
      </c>
      <c r="L143" t="s">
        <v>35</v>
      </c>
      <c r="M143" s="2">
        <v>135.1</v>
      </c>
      <c r="N143" s="2">
        <v>60</v>
      </c>
      <c r="O143" s="2">
        <f>BaseDeDatos!$M143*BaseDeDatos!$N143</f>
        <v>8106</v>
      </c>
    </row>
    <row r="144" spans="2:15">
      <c r="B144">
        <v>142</v>
      </c>
      <c r="C144" s="1">
        <v>44001</v>
      </c>
      <c r="D144">
        <v>5633857209</v>
      </c>
      <c r="E144" t="s">
        <v>63</v>
      </c>
      <c r="F144" t="s">
        <v>85</v>
      </c>
      <c r="G144" t="s">
        <v>83</v>
      </c>
      <c r="H144" t="s">
        <v>41</v>
      </c>
      <c r="I144" t="s">
        <v>25</v>
      </c>
      <c r="J144" t="s">
        <v>17</v>
      </c>
      <c r="K144" t="s">
        <v>52</v>
      </c>
      <c r="L144" t="s">
        <v>53</v>
      </c>
      <c r="M144" s="2">
        <v>257.59999999999997</v>
      </c>
      <c r="N144" s="2">
        <v>39</v>
      </c>
      <c r="O144" s="2">
        <f>BaseDeDatos!$M144*BaseDeDatos!$N144</f>
        <v>10046.399999999998</v>
      </c>
    </row>
    <row r="145" spans="2:15">
      <c r="B145">
        <v>143</v>
      </c>
      <c r="C145" s="1">
        <v>43927</v>
      </c>
      <c r="D145">
        <v>9715216432</v>
      </c>
      <c r="E145" t="s">
        <v>28</v>
      </c>
      <c r="F145" t="s">
        <v>89</v>
      </c>
      <c r="G145" t="s">
        <v>84</v>
      </c>
      <c r="H145" t="s">
        <v>29</v>
      </c>
      <c r="I145" t="s">
        <v>8</v>
      </c>
      <c r="J145" t="s">
        <v>9</v>
      </c>
      <c r="K145" t="s">
        <v>10</v>
      </c>
      <c r="L145" t="s">
        <v>11</v>
      </c>
      <c r="M145" s="2">
        <v>196</v>
      </c>
      <c r="N145" s="2">
        <v>79</v>
      </c>
      <c r="O145" s="2">
        <f>BaseDeDatos!$M145*BaseDeDatos!$N145</f>
        <v>15484</v>
      </c>
    </row>
    <row r="146" spans="2:15">
      <c r="B146">
        <v>144</v>
      </c>
      <c r="C146" s="1">
        <v>44100</v>
      </c>
      <c r="D146">
        <v>2808433382</v>
      </c>
      <c r="E146" t="s">
        <v>36</v>
      </c>
      <c r="F146" t="s">
        <v>92</v>
      </c>
      <c r="G146" t="s">
        <v>99</v>
      </c>
      <c r="H146" t="s">
        <v>37</v>
      </c>
      <c r="I146" t="s">
        <v>25</v>
      </c>
      <c r="J146" t="s">
        <v>9</v>
      </c>
      <c r="K146" t="s">
        <v>30</v>
      </c>
      <c r="L146" t="s">
        <v>31</v>
      </c>
      <c r="M146" s="2">
        <v>178.5</v>
      </c>
      <c r="N146" s="2">
        <v>44</v>
      </c>
      <c r="O146" s="2">
        <f>BaseDeDatos!$M146*BaseDeDatos!$N146</f>
        <v>7854</v>
      </c>
    </row>
    <row r="147" spans="2:15">
      <c r="B147">
        <v>145</v>
      </c>
      <c r="C147" s="1">
        <v>44046</v>
      </c>
      <c r="D147">
        <v>5585231955</v>
      </c>
      <c r="E147" t="s">
        <v>14</v>
      </c>
      <c r="F147" t="s">
        <v>81</v>
      </c>
      <c r="G147" t="s">
        <v>94</v>
      </c>
      <c r="H147" t="s">
        <v>15</v>
      </c>
      <c r="I147" t="s">
        <v>16</v>
      </c>
      <c r="J147" t="s">
        <v>17</v>
      </c>
      <c r="K147" t="s">
        <v>70</v>
      </c>
      <c r="L147" t="s">
        <v>47</v>
      </c>
      <c r="M147" s="2">
        <v>1134</v>
      </c>
      <c r="N147" s="2">
        <v>98</v>
      </c>
      <c r="O147" s="2">
        <f>BaseDeDatos!$M147*BaseDeDatos!$N147</f>
        <v>111132</v>
      </c>
    </row>
    <row r="148" spans="2:15">
      <c r="B148">
        <v>146</v>
      </c>
      <c r="C148" s="1">
        <v>44169</v>
      </c>
      <c r="D148">
        <v>4338999814</v>
      </c>
      <c r="E148" t="s">
        <v>14</v>
      </c>
      <c r="F148" t="s">
        <v>81</v>
      </c>
      <c r="G148" t="s">
        <v>94</v>
      </c>
      <c r="H148" t="s">
        <v>15</v>
      </c>
      <c r="I148" t="s">
        <v>16</v>
      </c>
      <c r="J148" t="s">
        <v>17</v>
      </c>
      <c r="K148" t="s">
        <v>71</v>
      </c>
      <c r="L148" t="s">
        <v>72</v>
      </c>
      <c r="M148" s="2">
        <v>98</v>
      </c>
      <c r="N148" s="2">
        <v>61</v>
      </c>
      <c r="O148" s="2">
        <f>BaseDeDatos!$M148*BaseDeDatos!$N148</f>
        <v>5978</v>
      </c>
    </row>
    <row r="149" spans="2:15">
      <c r="B149">
        <v>147</v>
      </c>
      <c r="C149" s="1">
        <v>44056</v>
      </c>
      <c r="D149">
        <v>3475726472</v>
      </c>
      <c r="E149" t="s">
        <v>23</v>
      </c>
      <c r="F149" t="s">
        <v>86</v>
      </c>
      <c r="G149" t="s">
        <v>82</v>
      </c>
      <c r="H149" t="s">
        <v>24</v>
      </c>
      <c r="I149" t="s">
        <v>25</v>
      </c>
      <c r="J149" t="s">
        <v>17</v>
      </c>
      <c r="K149" t="s">
        <v>58</v>
      </c>
      <c r="L149" t="s">
        <v>59</v>
      </c>
      <c r="M149" s="2">
        <v>487.19999999999993</v>
      </c>
      <c r="N149" s="2">
        <v>30</v>
      </c>
      <c r="O149" s="2">
        <f>BaseDeDatos!$M149*BaseDeDatos!$N149</f>
        <v>14615.999999999998</v>
      </c>
    </row>
    <row r="150" spans="2:15">
      <c r="B150">
        <v>148</v>
      </c>
      <c r="C150" s="1">
        <v>43946</v>
      </c>
      <c r="D150">
        <v>9727843310</v>
      </c>
      <c r="E150" t="s">
        <v>32</v>
      </c>
      <c r="F150" t="s">
        <v>93</v>
      </c>
      <c r="G150" t="s">
        <v>96</v>
      </c>
      <c r="H150" t="s">
        <v>7</v>
      </c>
      <c r="I150" t="s">
        <v>8</v>
      </c>
      <c r="J150" t="s">
        <v>33</v>
      </c>
      <c r="K150" t="s">
        <v>60</v>
      </c>
      <c r="L150" t="s">
        <v>49</v>
      </c>
      <c r="M150" s="2">
        <v>140</v>
      </c>
      <c r="N150" s="2">
        <v>24</v>
      </c>
      <c r="O150" s="2">
        <f>BaseDeDatos!$M150*BaseDeDatos!$N150</f>
        <v>3360</v>
      </c>
    </row>
    <row r="151" spans="2:15">
      <c r="B151">
        <v>149</v>
      </c>
      <c r="C151" s="1">
        <v>43951</v>
      </c>
      <c r="D151">
        <v>536031236</v>
      </c>
      <c r="E151" t="s">
        <v>32</v>
      </c>
      <c r="F151" t="s">
        <v>93</v>
      </c>
      <c r="G151" t="s">
        <v>96</v>
      </c>
      <c r="H151" t="s">
        <v>7</v>
      </c>
      <c r="I151" t="s">
        <v>8</v>
      </c>
      <c r="J151" t="s">
        <v>33</v>
      </c>
      <c r="K151" t="s">
        <v>38</v>
      </c>
      <c r="L151" t="s">
        <v>39</v>
      </c>
      <c r="M151" s="2">
        <v>560</v>
      </c>
      <c r="N151" s="2">
        <v>28</v>
      </c>
      <c r="O151" s="2">
        <f>BaseDeDatos!$M151*BaseDeDatos!$N151</f>
        <v>15680</v>
      </c>
    </row>
    <row r="152" spans="2:15">
      <c r="B152">
        <v>150</v>
      </c>
      <c r="C152" s="1">
        <v>44039</v>
      </c>
      <c r="D152">
        <v>1875435757</v>
      </c>
      <c r="E152" t="s">
        <v>42</v>
      </c>
      <c r="F152" t="s">
        <v>91</v>
      </c>
      <c r="G152" t="s">
        <v>91</v>
      </c>
      <c r="H152" t="s">
        <v>43</v>
      </c>
      <c r="I152" t="s">
        <v>8</v>
      </c>
      <c r="J152" t="s">
        <v>17</v>
      </c>
      <c r="K152" t="s">
        <v>61</v>
      </c>
      <c r="L152" t="s">
        <v>13</v>
      </c>
      <c r="M152" s="2">
        <v>140</v>
      </c>
      <c r="N152" s="2">
        <v>74</v>
      </c>
      <c r="O152" s="2">
        <f>BaseDeDatos!$M152*BaseDeDatos!$N152</f>
        <v>10360</v>
      </c>
    </row>
    <row r="153" spans="2:15">
      <c r="B153">
        <v>151</v>
      </c>
      <c r="C153" s="1">
        <v>44141</v>
      </c>
      <c r="D153">
        <v>8711973073</v>
      </c>
      <c r="E153" t="s">
        <v>42</v>
      </c>
      <c r="F153" t="s">
        <v>91</v>
      </c>
      <c r="G153" t="s">
        <v>91</v>
      </c>
      <c r="H153" t="s">
        <v>43</v>
      </c>
      <c r="I153" t="s">
        <v>16</v>
      </c>
      <c r="K153" t="s">
        <v>12</v>
      </c>
      <c r="L153" t="s">
        <v>13</v>
      </c>
      <c r="M153" s="2">
        <v>49</v>
      </c>
      <c r="N153" s="2">
        <v>90</v>
      </c>
      <c r="O153" s="2">
        <f>BaseDeDatos!$M153*BaseDeDatos!$N153</f>
        <v>4410</v>
      </c>
    </row>
    <row r="154" spans="2:15">
      <c r="B154">
        <v>152</v>
      </c>
      <c r="C154" s="1">
        <v>44169</v>
      </c>
      <c r="D154">
        <v>1214228285</v>
      </c>
      <c r="E154" t="s">
        <v>50</v>
      </c>
      <c r="F154" t="s">
        <v>85</v>
      </c>
      <c r="G154" t="s">
        <v>83</v>
      </c>
      <c r="H154" t="s">
        <v>41</v>
      </c>
      <c r="I154" t="s">
        <v>25</v>
      </c>
      <c r="K154" t="s">
        <v>38</v>
      </c>
      <c r="L154" t="s">
        <v>39</v>
      </c>
      <c r="M154" s="2">
        <v>560</v>
      </c>
      <c r="N154" s="2">
        <v>27</v>
      </c>
      <c r="O154" s="2">
        <f>BaseDeDatos!$M154*BaseDeDatos!$N154</f>
        <v>15120</v>
      </c>
    </row>
    <row r="155" spans="2:15">
      <c r="B155">
        <v>153</v>
      </c>
      <c r="C155" s="1">
        <v>44083</v>
      </c>
      <c r="D155">
        <v>3447948983</v>
      </c>
      <c r="E155" t="s">
        <v>51</v>
      </c>
      <c r="F155" t="s">
        <v>90</v>
      </c>
      <c r="G155" t="s">
        <v>98</v>
      </c>
      <c r="H155" t="s">
        <v>24</v>
      </c>
      <c r="I155" t="s">
        <v>25</v>
      </c>
      <c r="K155" t="s">
        <v>52</v>
      </c>
      <c r="L155" t="s">
        <v>53</v>
      </c>
      <c r="M155" s="2">
        <v>257.59999999999997</v>
      </c>
      <c r="N155" s="2">
        <v>71</v>
      </c>
      <c r="O155" s="2">
        <f>BaseDeDatos!$M155*BaseDeDatos!$N155</f>
        <v>18289.599999999999</v>
      </c>
    </row>
    <row r="156" spans="2:15">
      <c r="B156">
        <v>154</v>
      </c>
      <c r="C156" s="1">
        <v>43963</v>
      </c>
      <c r="D156">
        <v>8753770178</v>
      </c>
      <c r="E156" t="s">
        <v>40</v>
      </c>
      <c r="F156" t="s">
        <v>97</v>
      </c>
      <c r="G156" t="s">
        <v>88</v>
      </c>
      <c r="H156" t="s">
        <v>41</v>
      </c>
      <c r="I156" t="s">
        <v>25</v>
      </c>
      <c r="J156" t="s">
        <v>17</v>
      </c>
      <c r="K156" t="s">
        <v>22</v>
      </c>
      <c r="L156" t="s">
        <v>11</v>
      </c>
      <c r="M156" s="2">
        <v>644</v>
      </c>
      <c r="N156" s="2">
        <v>74</v>
      </c>
      <c r="O156" s="2">
        <f>BaseDeDatos!$M156*BaseDeDatos!$N156</f>
        <v>47656</v>
      </c>
    </row>
    <row r="157" spans="2:15">
      <c r="B157">
        <v>155</v>
      </c>
      <c r="C157" s="1">
        <v>43855</v>
      </c>
      <c r="D157">
        <v>493013693</v>
      </c>
      <c r="E157" t="s">
        <v>54</v>
      </c>
      <c r="F157" t="s">
        <v>89</v>
      </c>
      <c r="G157" t="s">
        <v>84</v>
      </c>
      <c r="H157" t="s">
        <v>55</v>
      </c>
      <c r="I157" t="s">
        <v>16</v>
      </c>
      <c r="J157" t="s">
        <v>9</v>
      </c>
      <c r="K157" t="s">
        <v>34</v>
      </c>
      <c r="L157" t="s">
        <v>35</v>
      </c>
      <c r="M157" s="2">
        <v>135.1</v>
      </c>
      <c r="N157" s="2">
        <v>76</v>
      </c>
      <c r="O157" s="2">
        <f>BaseDeDatos!$M157*BaseDeDatos!$N157</f>
        <v>10267.6</v>
      </c>
    </row>
    <row r="158" spans="2:15">
      <c r="B158">
        <v>156</v>
      </c>
      <c r="C158" s="1">
        <v>44132</v>
      </c>
      <c r="D158">
        <v>4097578178</v>
      </c>
      <c r="E158" t="s">
        <v>36</v>
      </c>
      <c r="F158" t="s">
        <v>92</v>
      </c>
      <c r="G158" t="s">
        <v>99</v>
      </c>
      <c r="H158" t="s">
        <v>37</v>
      </c>
      <c r="I158" t="s">
        <v>8</v>
      </c>
      <c r="J158" t="s">
        <v>17</v>
      </c>
      <c r="K158" t="s">
        <v>30</v>
      </c>
      <c r="L158" t="s">
        <v>31</v>
      </c>
      <c r="M158" s="2">
        <v>178.5</v>
      </c>
      <c r="N158" s="2">
        <v>96</v>
      </c>
      <c r="O158" s="2">
        <f>BaseDeDatos!$M158*BaseDeDatos!$N158</f>
        <v>17136</v>
      </c>
    </row>
    <row r="159" spans="2:15">
      <c r="B159">
        <v>157</v>
      </c>
      <c r="C159" s="1">
        <v>44018</v>
      </c>
      <c r="D159">
        <v>9949307477</v>
      </c>
      <c r="E159" t="s">
        <v>23</v>
      </c>
      <c r="F159" t="s">
        <v>86</v>
      </c>
      <c r="G159" t="s">
        <v>82</v>
      </c>
      <c r="H159" t="s">
        <v>24</v>
      </c>
      <c r="I159" t="s">
        <v>8</v>
      </c>
      <c r="J159" t="s">
        <v>9</v>
      </c>
      <c r="K159" t="s">
        <v>30</v>
      </c>
      <c r="L159" t="s">
        <v>31</v>
      </c>
      <c r="M159" s="2">
        <v>178.5</v>
      </c>
      <c r="N159" s="2">
        <v>92</v>
      </c>
      <c r="O159" s="2">
        <f>BaseDeDatos!$M159*BaseDeDatos!$N159</f>
        <v>16422</v>
      </c>
    </row>
    <row r="160" spans="2:15">
      <c r="B160">
        <v>158</v>
      </c>
      <c r="C160" s="1">
        <v>43972</v>
      </c>
      <c r="D160">
        <v>2521830520</v>
      </c>
      <c r="E160" t="s">
        <v>62</v>
      </c>
      <c r="F160" t="s">
        <v>91</v>
      </c>
      <c r="G160" t="s">
        <v>91</v>
      </c>
      <c r="H160" t="s">
        <v>43</v>
      </c>
      <c r="I160" t="s">
        <v>16</v>
      </c>
      <c r="J160" t="s">
        <v>33</v>
      </c>
      <c r="K160" t="s">
        <v>48</v>
      </c>
      <c r="L160" t="s">
        <v>49</v>
      </c>
      <c r="M160" s="2">
        <v>308</v>
      </c>
      <c r="N160" s="2">
        <v>93</v>
      </c>
      <c r="O160" s="2">
        <f>BaseDeDatos!$M160*BaseDeDatos!$N160</f>
        <v>28644</v>
      </c>
    </row>
    <row r="161" spans="2:15">
      <c r="B161">
        <v>159</v>
      </c>
      <c r="C161" s="1">
        <v>43982</v>
      </c>
      <c r="D161">
        <v>4224616034</v>
      </c>
      <c r="E161" t="s">
        <v>63</v>
      </c>
      <c r="F161" t="s">
        <v>85</v>
      </c>
      <c r="G161" t="s">
        <v>83</v>
      </c>
      <c r="H161" t="s">
        <v>41</v>
      </c>
      <c r="I161" t="s">
        <v>25</v>
      </c>
      <c r="J161" t="s">
        <v>17</v>
      </c>
      <c r="K161" t="s">
        <v>46</v>
      </c>
      <c r="L161" t="s">
        <v>47</v>
      </c>
      <c r="M161" s="2">
        <v>350</v>
      </c>
      <c r="N161" s="2">
        <v>18</v>
      </c>
      <c r="O161" s="2">
        <f>BaseDeDatos!$M161*BaseDeDatos!$N161</f>
        <v>6300</v>
      </c>
    </row>
    <row r="162" spans="2:15">
      <c r="B162">
        <v>160</v>
      </c>
      <c r="C162" s="1">
        <v>44049</v>
      </c>
      <c r="D162">
        <v>7169314881</v>
      </c>
      <c r="E162" t="s">
        <v>28</v>
      </c>
      <c r="F162" t="s">
        <v>89</v>
      </c>
      <c r="G162" t="s">
        <v>84</v>
      </c>
      <c r="H162" t="s">
        <v>29</v>
      </c>
      <c r="I162" t="s">
        <v>8</v>
      </c>
      <c r="J162" t="s">
        <v>9</v>
      </c>
      <c r="K162" t="s">
        <v>64</v>
      </c>
      <c r="L162" t="s">
        <v>65</v>
      </c>
      <c r="M162" s="2">
        <v>546</v>
      </c>
      <c r="N162" s="2">
        <v>98</v>
      </c>
      <c r="O162" s="2">
        <f>BaseDeDatos!$M162*BaseDeDatos!$N162</f>
        <v>53508</v>
      </c>
    </row>
    <row r="163" spans="2:15">
      <c r="B163">
        <v>161</v>
      </c>
      <c r="C163" s="1">
        <v>44018</v>
      </c>
      <c r="D163">
        <v>8313545064</v>
      </c>
      <c r="E163" t="s">
        <v>36</v>
      </c>
      <c r="F163" t="s">
        <v>92</v>
      </c>
      <c r="G163" t="s">
        <v>99</v>
      </c>
      <c r="H163" t="s">
        <v>37</v>
      </c>
      <c r="I163" t="s">
        <v>25</v>
      </c>
      <c r="J163" t="s">
        <v>9</v>
      </c>
      <c r="K163" t="s">
        <v>18</v>
      </c>
      <c r="L163" t="s">
        <v>13</v>
      </c>
      <c r="M163" s="2">
        <v>420</v>
      </c>
      <c r="N163" s="2">
        <v>46</v>
      </c>
      <c r="O163" s="2">
        <f>BaseDeDatos!$M163*BaseDeDatos!$N163</f>
        <v>19320</v>
      </c>
    </row>
    <row r="164" spans="2:15">
      <c r="B164">
        <v>162</v>
      </c>
      <c r="C164" s="1">
        <v>44064</v>
      </c>
      <c r="D164">
        <v>5739621013</v>
      </c>
      <c r="E164" t="s">
        <v>36</v>
      </c>
      <c r="F164" t="s">
        <v>92</v>
      </c>
      <c r="G164" t="s">
        <v>99</v>
      </c>
      <c r="H164" t="s">
        <v>37</v>
      </c>
      <c r="I164" t="s">
        <v>25</v>
      </c>
      <c r="J164" t="s">
        <v>9</v>
      </c>
      <c r="K164" t="s">
        <v>19</v>
      </c>
      <c r="L164" t="s">
        <v>13</v>
      </c>
      <c r="M164" s="2">
        <v>742</v>
      </c>
      <c r="N164" s="2">
        <v>14</v>
      </c>
      <c r="O164" s="2">
        <f>BaseDeDatos!$M164*BaseDeDatos!$N164</f>
        <v>10388</v>
      </c>
    </row>
    <row r="165" spans="2:15">
      <c r="B165">
        <v>163</v>
      </c>
      <c r="C165" s="1">
        <v>43942</v>
      </c>
      <c r="D165">
        <v>1789830506</v>
      </c>
      <c r="E165" t="s">
        <v>14</v>
      </c>
      <c r="F165" t="s">
        <v>81</v>
      </c>
      <c r="G165" t="s">
        <v>94</v>
      </c>
      <c r="H165" t="s">
        <v>15</v>
      </c>
      <c r="K165" t="s">
        <v>66</v>
      </c>
      <c r="L165" t="s">
        <v>57</v>
      </c>
      <c r="M165" s="2">
        <v>532</v>
      </c>
      <c r="N165" s="2">
        <v>85</v>
      </c>
      <c r="O165" s="2">
        <f>BaseDeDatos!$M165*BaseDeDatos!$N165</f>
        <v>45220</v>
      </c>
    </row>
    <row r="166" spans="2:15">
      <c r="B166">
        <v>164</v>
      </c>
      <c r="C166" s="1">
        <v>44098</v>
      </c>
      <c r="D166">
        <v>6281652174</v>
      </c>
      <c r="E166" t="s">
        <v>32</v>
      </c>
      <c r="F166" t="s">
        <v>93</v>
      </c>
      <c r="G166" t="s">
        <v>96</v>
      </c>
      <c r="H166" t="s">
        <v>7</v>
      </c>
      <c r="K166" t="s">
        <v>44</v>
      </c>
      <c r="L166" t="s">
        <v>11</v>
      </c>
      <c r="M166" s="2">
        <v>41.86</v>
      </c>
      <c r="N166" s="2">
        <v>88</v>
      </c>
      <c r="O166" s="2">
        <f>BaseDeDatos!$M166*BaseDeDatos!$N166</f>
        <v>3683.68</v>
      </c>
    </row>
    <row r="167" spans="2:15">
      <c r="B167">
        <v>165</v>
      </c>
      <c r="C167" s="1">
        <v>43859</v>
      </c>
      <c r="D167">
        <v>8126696083</v>
      </c>
      <c r="E167" t="s">
        <v>51</v>
      </c>
      <c r="F167" t="s">
        <v>90</v>
      </c>
      <c r="G167" t="s">
        <v>98</v>
      </c>
      <c r="H167" t="s">
        <v>24</v>
      </c>
      <c r="K167" t="s">
        <v>44</v>
      </c>
      <c r="L167" t="s">
        <v>11</v>
      </c>
      <c r="M167" s="2">
        <v>41.86</v>
      </c>
      <c r="N167" s="2">
        <v>81</v>
      </c>
      <c r="O167" s="2">
        <f>BaseDeDatos!$M167*BaseDeDatos!$N167</f>
        <v>3390.66</v>
      </c>
    </row>
    <row r="168" spans="2:15">
      <c r="B168">
        <v>166</v>
      </c>
      <c r="C168" s="1">
        <v>44160</v>
      </c>
      <c r="D168">
        <v>2706456269</v>
      </c>
      <c r="E168" t="s">
        <v>40</v>
      </c>
      <c r="F168" t="s">
        <v>97</v>
      </c>
      <c r="G168" t="s">
        <v>88</v>
      </c>
      <c r="H168" t="s">
        <v>41</v>
      </c>
      <c r="I168" t="s">
        <v>25</v>
      </c>
      <c r="J168" t="s">
        <v>17</v>
      </c>
      <c r="K168" t="s">
        <v>34</v>
      </c>
      <c r="L168" t="s">
        <v>35</v>
      </c>
      <c r="M168" s="2">
        <v>135.1</v>
      </c>
      <c r="N168" s="2">
        <v>33</v>
      </c>
      <c r="O168" s="2">
        <f>BaseDeDatos!$M168*BaseDeDatos!$N168</f>
        <v>4458.3</v>
      </c>
    </row>
    <row r="169" spans="2:15">
      <c r="B169">
        <v>167</v>
      </c>
      <c r="C169" s="1">
        <v>44167</v>
      </c>
      <c r="D169">
        <v>6159315697</v>
      </c>
      <c r="E169" t="s">
        <v>40</v>
      </c>
      <c r="F169" t="s">
        <v>97</v>
      </c>
      <c r="G169" t="s">
        <v>88</v>
      </c>
      <c r="H169" t="s">
        <v>41</v>
      </c>
      <c r="I169" t="s">
        <v>25</v>
      </c>
      <c r="J169" t="s">
        <v>17</v>
      </c>
      <c r="K169" t="s">
        <v>52</v>
      </c>
      <c r="L169" t="s">
        <v>53</v>
      </c>
      <c r="M169" s="2">
        <v>257.59999999999997</v>
      </c>
      <c r="N169" s="2">
        <v>47</v>
      </c>
      <c r="O169" s="2">
        <f>BaseDeDatos!$M169*BaseDeDatos!$N169</f>
        <v>12107.199999999999</v>
      </c>
    </row>
    <row r="170" spans="2:15">
      <c r="B170">
        <v>168</v>
      </c>
      <c r="C170" s="1">
        <v>44026</v>
      </c>
      <c r="D170">
        <v>2749029538</v>
      </c>
      <c r="E170" t="s">
        <v>54</v>
      </c>
      <c r="F170" t="s">
        <v>89</v>
      </c>
      <c r="G170" t="s">
        <v>84</v>
      </c>
      <c r="H170" t="s">
        <v>55</v>
      </c>
      <c r="I170" t="s">
        <v>16</v>
      </c>
      <c r="J170" t="s">
        <v>9</v>
      </c>
      <c r="K170" t="s">
        <v>56</v>
      </c>
      <c r="L170" t="s">
        <v>57</v>
      </c>
      <c r="M170" s="2">
        <v>273</v>
      </c>
      <c r="N170" s="2">
        <v>61</v>
      </c>
      <c r="O170" s="2">
        <f>BaseDeDatos!$M170*BaseDeDatos!$N170</f>
        <v>16653</v>
      </c>
    </row>
    <row r="171" spans="2:15">
      <c r="B171">
        <v>169</v>
      </c>
      <c r="C171" s="1">
        <v>43998</v>
      </c>
      <c r="D171">
        <v>9017454158</v>
      </c>
      <c r="E171" t="s">
        <v>54</v>
      </c>
      <c r="F171" t="s">
        <v>89</v>
      </c>
      <c r="G171" t="s">
        <v>84</v>
      </c>
      <c r="H171" t="s">
        <v>55</v>
      </c>
      <c r="I171" t="s">
        <v>16</v>
      </c>
      <c r="J171" t="s">
        <v>9</v>
      </c>
      <c r="K171" t="s">
        <v>58</v>
      </c>
      <c r="L171" t="s">
        <v>59</v>
      </c>
      <c r="M171" s="2">
        <v>487.19999999999993</v>
      </c>
      <c r="N171" s="2">
        <v>27</v>
      </c>
      <c r="O171" s="2">
        <f>BaseDeDatos!$M171*BaseDeDatos!$N171</f>
        <v>13154.399999999998</v>
      </c>
    </row>
    <row r="172" spans="2:15">
      <c r="B172">
        <v>170</v>
      </c>
      <c r="C172" s="1">
        <v>43893</v>
      </c>
      <c r="D172">
        <v>445300235</v>
      </c>
      <c r="E172" t="s">
        <v>36</v>
      </c>
      <c r="F172" t="s">
        <v>92</v>
      </c>
      <c r="G172" t="s">
        <v>99</v>
      </c>
      <c r="H172" t="s">
        <v>37</v>
      </c>
      <c r="I172" t="s">
        <v>8</v>
      </c>
      <c r="J172" t="s">
        <v>17</v>
      </c>
      <c r="K172" t="s">
        <v>10</v>
      </c>
      <c r="L172" t="s">
        <v>11</v>
      </c>
      <c r="M172" s="2">
        <v>196</v>
      </c>
      <c r="N172" s="2">
        <v>84</v>
      </c>
      <c r="O172" s="2">
        <f>BaseDeDatos!$M172*BaseDeDatos!$N172</f>
        <v>16464</v>
      </c>
    </row>
    <row r="173" spans="2:15">
      <c r="B173">
        <v>171</v>
      </c>
      <c r="C173" s="1">
        <v>43844</v>
      </c>
      <c r="D173">
        <v>3498781571</v>
      </c>
      <c r="E173" t="s">
        <v>23</v>
      </c>
      <c r="F173" t="s">
        <v>86</v>
      </c>
      <c r="G173" t="s">
        <v>82</v>
      </c>
      <c r="H173" t="s">
        <v>24</v>
      </c>
      <c r="I173" t="s">
        <v>8</v>
      </c>
      <c r="J173" t="s">
        <v>9</v>
      </c>
      <c r="K173" t="s">
        <v>38</v>
      </c>
      <c r="L173" t="s">
        <v>39</v>
      </c>
      <c r="M173" s="2">
        <v>560</v>
      </c>
      <c r="N173" s="2">
        <v>91</v>
      </c>
      <c r="O173" s="2">
        <f>BaseDeDatos!$M173*BaseDeDatos!$N173</f>
        <v>50960</v>
      </c>
    </row>
    <row r="174" spans="2:15">
      <c r="B174">
        <v>172</v>
      </c>
      <c r="C174" s="1">
        <v>44008</v>
      </c>
      <c r="D174">
        <v>376477229</v>
      </c>
      <c r="E174" t="s">
        <v>23</v>
      </c>
      <c r="F174" t="s">
        <v>86</v>
      </c>
      <c r="G174" t="s">
        <v>82</v>
      </c>
      <c r="H174" t="s">
        <v>24</v>
      </c>
      <c r="I174" t="s">
        <v>8</v>
      </c>
      <c r="J174" t="s">
        <v>9</v>
      </c>
      <c r="K174" t="s">
        <v>26</v>
      </c>
      <c r="L174" t="s">
        <v>27</v>
      </c>
      <c r="M174" s="2">
        <v>128.79999999999998</v>
      </c>
      <c r="N174" s="2">
        <v>36</v>
      </c>
      <c r="O174" s="2">
        <f>BaseDeDatos!$M174*BaseDeDatos!$N174</f>
        <v>4636.7999999999993</v>
      </c>
    </row>
    <row r="175" spans="2:15">
      <c r="B175">
        <v>173</v>
      </c>
      <c r="C175" s="1">
        <v>44119</v>
      </c>
      <c r="D175">
        <v>1790721708</v>
      </c>
      <c r="E175" t="s">
        <v>62</v>
      </c>
      <c r="F175" t="s">
        <v>91</v>
      </c>
      <c r="G175" t="s">
        <v>91</v>
      </c>
      <c r="H175" t="s">
        <v>43</v>
      </c>
      <c r="I175" t="s">
        <v>16</v>
      </c>
      <c r="J175" t="s">
        <v>33</v>
      </c>
      <c r="K175" t="s">
        <v>67</v>
      </c>
      <c r="L175" t="s">
        <v>27</v>
      </c>
      <c r="M175" s="2">
        <v>140</v>
      </c>
      <c r="N175" s="2">
        <v>34</v>
      </c>
      <c r="O175" s="2">
        <f>BaseDeDatos!$M175*BaseDeDatos!$N175</f>
        <v>4760</v>
      </c>
    </row>
    <row r="176" spans="2:15">
      <c r="B176">
        <v>174</v>
      </c>
      <c r="C176" s="1">
        <v>43831</v>
      </c>
      <c r="D176">
        <v>434033868</v>
      </c>
      <c r="E176" t="s">
        <v>63</v>
      </c>
      <c r="F176" t="s">
        <v>85</v>
      </c>
      <c r="G176" t="s">
        <v>83</v>
      </c>
      <c r="H176" t="s">
        <v>41</v>
      </c>
      <c r="I176" t="s">
        <v>25</v>
      </c>
      <c r="J176" t="s">
        <v>17</v>
      </c>
      <c r="K176" t="s">
        <v>68</v>
      </c>
      <c r="L176" t="s">
        <v>69</v>
      </c>
      <c r="M176" s="2">
        <v>298.90000000000003</v>
      </c>
      <c r="N176" s="2">
        <v>81</v>
      </c>
      <c r="O176" s="2">
        <f>BaseDeDatos!$M176*BaseDeDatos!$N176</f>
        <v>24210.9</v>
      </c>
    </row>
    <row r="177" spans="2:15">
      <c r="B177">
        <v>175</v>
      </c>
      <c r="C177" s="1">
        <v>44054</v>
      </c>
      <c r="D177">
        <v>3247684317</v>
      </c>
      <c r="E177" t="s">
        <v>63</v>
      </c>
      <c r="F177" t="s">
        <v>85</v>
      </c>
      <c r="G177" t="s">
        <v>83</v>
      </c>
      <c r="H177" t="s">
        <v>41</v>
      </c>
      <c r="I177" t="s">
        <v>25</v>
      </c>
      <c r="J177" t="s">
        <v>17</v>
      </c>
      <c r="K177" t="s">
        <v>34</v>
      </c>
      <c r="L177" t="s">
        <v>35</v>
      </c>
      <c r="M177" s="2">
        <v>135.1</v>
      </c>
      <c r="N177" s="2">
        <v>25</v>
      </c>
      <c r="O177" s="2">
        <f>BaseDeDatos!$M177*BaseDeDatos!$N177</f>
        <v>3377.5</v>
      </c>
    </row>
    <row r="178" spans="2:15">
      <c r="B178">
        <v>176</v>
      </c>
      <c r="C178" s="1">
        <v>43933</v>
      </c>
      <c r="D178">
        <v>6492121203</v>
      </c>
      <c r="E178" t="s">
        <v>63</v>
      </c>
      <c r="F178" t="s">
        <v>85</v>
      </c>
      <c r="G178" t="s">
        <v>83</v>
      </c>
      <c r="H178" t="s">
        <v>41</v>
      </c>
      <c r="I178" t="s">
        <v>25</v>
      </c>
      <c r="J178" t="s">
        <v>17</v>
      </c>
      <c r="K178" t="s">
        <v>52</v>
      </c>
      <c r="L178" t="s">
        <v>53</v>
      </c>
      <c r="M178" s="2">
        <v>257.59999999999997</v>
      </c>
      <c r="N178" s="2">
        <v>12</v>
      </c>
      <c r="O178" s="2">
        <f>BaseDeDatos!$M178*BaseDeDatos!$N178</f>
        <v>3091.2</v>
      </c>
    </row>
    <row r="179" spans="2:15">
      <c r="B179">
        <v>177</v>
      </c>
      <c r="C179" s="1">
        <v>43859</v>
      </c>
      <c r="D179">
        <v>1661667624</v>
      </c>
      <c r="E179" t="s">
        <v>28</v>
      </c>
      <c r="F179" t="s">
        <v>89</v>
      </c>
      <c r="G179" t="s">
        <v>84</v>
      </c>
      <c r="H179" t="s">
        <v>29</v>
      </c>
      <c r="I179" t="s">
        <v>8</v>
      </c>
      <c r="J179" t="s">
        <v>9</v>
      </c>
      <c r="K179" t="s">
        <v>10</v>
      </c>
      <c r="L179" t="s">
        <v>11</v>
      </c>
      <c r="M179" s="2">
        <v>196</v>
      </c>
      <c r="N179" s="2">
        <v>23</v>
      </c>
      <c r="O179" s="2">
        <f>BaseDeDatos!$M179*BaseDeDatos!$N179</f>
        <v>4508</v>
      </c>
    </row>
    <row r="180" spans="2:15">
      <c r="B180">
        <v>178</v>
      </c>
      <c r="C180" s="1">
        <v>44188</v>
      </c>
      <c r="D180">
        <v>1127190015</v>
      </c>
      <c r="E180" t="s">
        <v>36</v>
      </c>
      <c r="F180" t="s">
        <v>92</v>
      </c>
      <c r="G180" t="s">
        <v>99</v>
      </c>
      <c r="H180" t="s">
        <v>37</v>
      </c>
      <c r="I180" t="s">
        <v>25</v>
      </c>
      <c r="J180" t="s">
        <v>9</v>
      </c>
      <c r="K180" t="s">
        <v>30</v>
      </c>
      <c r="L180" t="s">
        <v>31</v>
      </c>
      <c r="M180" s="2">
        <v>178.5</v>
      </c>
      <c r="N180" s="2">
        <v>76</v>
      </c>
      <c r="O180" s="2">
        <f>BaseDeDatos!$M180*BaseDeDatos!$N180</f>
        <v>13566</v>
      </c>
    </row>
    <row r="181" spans="2:15">
      <c r="B181">
        <v>179</v>
      </c>
      <c r="C181" s="1">
        <v>43937</v>
      </c>
      <c r="D181">
        <v>7862399002</v>
      </c>
      <c r="E181" t="s">
        <v>14</v>
      </c>
      <c r="F181" t="s">
        <v>81</v>
      </c>
      <c r="G181" t="s">
        <v>94</v>
      </c>
      <c r="H181" t="s">
        <v>15</v>
      </c>
      <c r="I181" t="s">
        <v>16</v>
      </c>
      <c r="J181" t="s">
        <v>17</v>
      </c>
      <c r="K181" t="s">
        <v>70</v>
      </c>
      <c r="L181" t="s">
        <v>47</v>
      </c>
      <c r="M181" s="2">
        <v>1134</v>
      </c>
      <c r="N181" s="2">
        <v>55</v>
      </c>
      <c r="O181" s="2">
        <f>BaseDeDatos!$M181*BaseDeDatos!$N181</f>
        <v>62370</v>
      </c>
    </row>
    <row r="182" spans="2:15">
      <c r="B182">
        <v>180</v>
      </c>
      <c r="C182" s="1">
        <v>44083</v>
      </c>
      <c r="D182">
        <v>9568142105</v>
      </c>
      <c r="E182" t="s">
        <v>14</v>
      </c>
      <c r="F182" t="s">
        <v>81</v>
      </c>
      <c r="G182" t="s">
        <v>94</v>
      </c>
      <c r="H182" t="s">
        <v>15</v>
      </c>
      <c r="I182" t="s">
        <v>16</v>
      </c>
      <c r="J182" t="s">
        <v>17</v>
      </c>
      <c r="K182" t="s">
        <v>71</v>
      </c>
      <c r="L182" t="s">
        <v>72</v>
      </c>
      <c r="M182" s="2">
        <v>98</v>
      </c>
      <c r="N182" s="2">
        <v>19</v>
      </c>
      <c r="O182" s="2">
        <f>BaseDeDatos!$M182*BaseDeDatos!$N182</f>
        <v>1862</v>
      </c>
    </row>
    <row r="183" spans="2:15">
      <c r="B183">
        <v>181</v>
      </c>
      <c r="C183" s="1">
        <v>43864</v>
      </c>
      <c r="D183">
        <v>1181634254</v>
      </c>
      <c r="E183" t="s">
        <v>23</v>
      </c>
      <c r="F183" t="s">
        <v>86</v>
      </c>
      <c r="G183" t="s">
        <v>82</v>
      </c>
      <c r="H183" t="s">
        <v>24</v>
      </c>
      <c r="I183" t="s">
        <v>25</v>
      </c>
      <c r="J183" t="s">
        <v>17</v>
      </c>
      <c r="K183" t="s">
        <v>58</v>
      </c>
      <c r="L183" t="s">
        <v>59</v>
      </c>
      <c r="M183" s="2">
        <v>487.19999999999993</v>
      </c>
      <c r="N183" s="2">
        <v>27</v>
      </c>
      <c r="O183" s="2">
        <f>BaseDeDatos!$M183*BaseDeDatos!$N183</f>
        <v>13154.399999999998</v>
      </c>
    </row>
    <row r="184" spans="2:15">
      <c r="B184">
        <v>182</v>
      </c>
      <c r="C184" s="1">
        <v>44052</v>
      </c>
      <c r="D184">
        <v>5404968765</v>
      </c>
      <c r="E184" t="s">
        <v>32</v>
      </c>
      <c r="F184" t="s">
        <v>93</v>
      </c>
      <c r="G184" t="s">
        <v>96</v>
      </c>
      <c r="H184" t="s">
        <v>7</v>
      </c>
      <c r="I184" t="s">
        <v>8</v>
      </c>
      <c r="J184" t="s">
        <v>33</v>
      </c>
      <c r="K184" t="s">
        <v>60</v>
      </c>
      <c r="L184" t="s">
        <v>49</v>
      </c>
      <c r="M184" s="2">
        <v>140</v>
      </c>
      <c r="N184" s="2">
        <v>99</v>
      </c>
      <c r="O184" s="2">
        <f>BaseDeDatos!$M184*BaseDeDatos!$N184</f>
        <v>13860</v>
      </c>
    </row>
    <row r="185" spans="2:15">
      <c r="B185">
        <v>183</v>
      </c>
      <c r="C185" s="1">
        <v>43959</v>
      </c>
      <c r="D185">
        <v>2431996009</v>
      </c>
      <c r="E185" t="s">
        <v>32</v>
      </c>
      <c r="F185" t="s">
        <v>93</v>
      </c>
      <c r="G185" t="s">
        <v>96</v>
      </c>
      <c r="H185" t="s">
        <v>7</v>
      </c>
      <c r="I185" t="s">
        <v>8</v>
      </c>
      <c r="J185" t="s">
        <v>33</v>
      </c>
      <c r="K185" t="s">
        <v>38</v>
      </c>
      <c r="L185" t="s">
        <v>39</v>
      </c>
      <c r="M185" s="2">
        <v>560</v>
      </c>
      <c r="N185" s="2">
        <v>10</v>
      </c>
      <c r="O185" s="2">
        <f>BaseDeDatos!$M185*BaseDeDatos!$N185</f>
        <v>5600</v>
      </c>
    </row>
    <row r="186" spans="2:15">
      <c r="B186">
        <v>184</v>
      </c>
      <c r="C186" s="1">
        <v>44101</v>
      </c>
      <c r="D186">
        <v>6373385557</v>
      </c>
      <c r="E186" t="s">
        <v>42</v>
      </c>
      <c r="F186" t="s">
        <v>91</v>
      </c>
      <c r="G186" t="s">
        <v>91</v>
      </c>
      <c r="H186" t="s">
        <v>43</v>
      </c>
      <c r="I186" t="s">
        <v>8</v>
      </c>
      <c r="J186" t="s">
        <v>17</v>
      </c>
      <c r="K186" t="s">
        <v>61</v>
      </c>
      <c r="L186" t="s">
        <v>13</v>
      </c>
      <c r="M186" s="2">
        <v>140</v>
      </c>
      <c r="N186" s="2">
        <v>80</v>
      </c>
      <c r="O186" s="2">
        <f>BaseDeDatos!$M186*BaseDeDatos!$N186</f>
        <v>11200</v>
      </c>
    </row>
    <row r="187" spans="2:15">
      <c r="B187">
        <v>185</v>
      </c>
      <c r="C187" s="1">
        <v>44069</v>
      </c>
      <c r="D187">
        <v>5411926783</v>
      </c>
      <c r="E187" t="s">
        <v>42</v>
      </c>
      <c r="F187" t="s">
        <v>91</v>
      </c>
      <c r="G187" t="s">
        <v>91</v>
      </c>
      <c r="H187" t="s">
        <v>43</v>
      </c>
      <c r="I187" t="s">
        <v>16</v>
      </c>
      <c r="K187" t="s">
        <v>12</v>
      </c>
      <c r="L187" t="s">
        <v>13</v>
      </c>
      <c r="M187" s="2">
        <v>49</v>
      </c>
      <c r="N187" s="2">
        <v>27</v>
      </c>
      <c r="O187" s="2">
        <f>BaseDeDatos!$M187*BaseDeDatos!$N187</f>
        <v>1323</v>
      </c>
    </row>
    <row r="188" spans="2:15">
      <c r="B188">
        <v>186</v>
      </c>
      <c r="C188" s="1">
        <v>44118</v>
      </c>
      <c r="D188">
        <v>8397590471</v>
      </c>
      <c r="E188" t="s">
        <v>50</v>
      </c>
      <c r="F188" t="s">
        <v>85</v>
      </c>
      <c r="G188" t="s">
        <v>83</v>
      </c>
      <c r="H188" t="s">
        <v>41</v>
      </c>
      <c r="I188" t="s">
        <v>25</v>
      </c>
      <c r="K188" t="s">
        <v>38</v>
      </c>
      <c r="L188" t="s">
        <v>39</v>
      </c>
      <c r="M188" s="2">
        <v>560</v>
      </c>
      <c r="N188" s="2">
        <v>97</v>
      </c>
      <c r="O188" s="2">
        <f>BaseDeDatos!$M188*BaseDeDatos!$N188</f>
        <v>54320</v>
      </c>
    </row>
    <row r="189" spans="2:15">
      <c r="B189">
        <v>187</v>
      </c>
      <c r="C189" s="1">
        <v>44038</v>
      </c>
      <c r="D189">
        <v>5905399576</v>
      </c>
      <c r="E189" t="s">
        <v>51</v>
      </c>
      <c r="F189" t="s">
        <v>90</v>
      </c>
      <c r="G189" t="s">
        <v>98</v>
      </c>
      <c r="H189" t="s">
        <v>24</v>
      </c>
      <c r="I189" t="s">
        <v>25</v>
      </c>
      <c r="K189" t="s">
        <v>52</v>
      </c>
      <c r="L189" t="s">
        <v>53</v>
      </c>
      <c r="M189" s="2">
        <v>257.59999999999997</v>
      </c>
      <c r="N189" s="2">
        <v>42</v>
      </c>
      <c r="O189" s="2">
        <f>BaseDeDatos!$M189*BaseDeDatos!$N189</f>
        <v>10819.199999999999</v>
      </c>
    </row>
    <row r="190" spans="2:15">
      <c r="B190">
        <v>188</v>
      </c>
      <c r="C190" s="1">
        <v>43947</v>
      </c>
      <c r="D190">
        <v>168682758</v>
      </c>
      <c r="E190" t="s">
        <v>40</v>
      </c>
      <c r="F190" t="s">
        <v>97</v>
      </c>
      <c r="G190" t="s">
        <v>88</v>
      </c>
      <c r="H190" t="s">
        <v>41</v>
      </c>
      <c r="I190" t="s">
        <v>25</v>
      </c>
      <c r="J190" t="s">
        <v>17</v>
      </c>
      <c r="K190" t="s">
        <v>22</v>
      </c>
      <c r="L190" t="s">
        <v>11</v>
      </c>
      <c r="M190" s="2">
        <v>644</v>
      </c>
      <c r="N190" s="2">
        <v>24</v>
      </c>
      <c r="O190" s="2">
        <f>BaseDeDatos!$M190*BaseDeDatos!$N190</f>
        <v>15456</v>
      </c>
    </row>
    <row r="191" spans="2:15">
      <c r="B191">
        <v>189</v>
      </c>
      <c r="C191" s="1">
        <v>44162</v>
      </c>
      <c r="D191">
        <v>4992553897</v>
      </c>
      <c r="E191" t="s">
        <v>54</v>
      </c>
      <c r="F191" t="s">
        <v>89</v>
      </c>
      <c r="G191" t="s">
        <v>84</v>
      </c>
      <c r="H191" t="s">
        <v>55</v>
      </c>
      <c r="I191" t="s">
        <v>16</v>
      </c>
      <c r="J191" t="s">
        <v>9</v>
      </c>
      <c r="K191" t="s">
        <v>34</v>
      </c>
      <c r="L191" t="s">
        <v>35</v>
      </c>
      <c r="M191" s="2">
        <v>135.1</v>
      </c>
      <c r="N191" s="2">
        <v>90</v>
      </c>
      <c r="O191" s="2">
        <f>BaseDeDatos!$M191*BaseDeDatos!$N191</f>
        <v>12159</v>
      </c>
    </row>
    <row r="192" spans="2:15">
      <c r="B192">
        <v>190</v>
      </c>
      <c r="C192" s="1">
        <v>44160</v>
      </c>
      <c r="D192">
        <v>9609810399</v>
      </c>
      <c r="E192" t="s">
        <v>36</v>
      </c>
      <c r="F192" t="s">
        <v>92</v>
      </c>
      <c r="G192" t="s">
        <v>99</v>
      </c>
      <c r="H192" t="s">
        <v>37</v>
      </c>
      <c r="I192" t="s">
        <v>8</v>
      </c>
      <c r="J192" t="s">
        <v>17</v>
      </c>
      <c r="K192" t="s">
        <v>30</v>
      </c>
      <c r="L192" t="s">
        <v>31</v>
      </c>
      <c r="M192" s="2">
        <v>178.5</v>
      </c>
      <c r="N192" s="2">
        <v>28</v>
      </c>
      <c r="O192" s="2">
        <f>BaseDeDatos!$M192*BaseDeDatos!$N192</f>
        <v>4998</v>
      </c>
    </row>
    <row r="193" spans="2:15">
      <c r="B193">
        <v>191</v>
      </c>
      <c r="C193" s="1">
        <v>44045</v>
      </c>
      <c r="D193">
        <v>1537469039</v>
      </c>
      <c r="E193" t="s">
        <v>40</v>
      </c>
      <c r="F193" t="s">
        <v>97</v>
      </c>
      <c r="G193" t="s">
        <v>88</v>
      </c>
      <c r="H193" t="s">
        <v>41</v>
      </c>
      <c r="I193" t="s">
        <v>25</v>
      </c>
      <c r="J193" t="s">
        <v>9</v>
      </c>
      <c r="K193" t="s">
        <v>22</v>
      </c>
      <c r="L193" t="s">
        <v>11</v>
      </c>
      <c r="M193" s="2">
        <v>644</v>
      </c>
      <c r="N193" s="2">
        <v>28</v>
      </c>
      <c r="O193" s="2">
        <f>BaseDeDatos!$M193*BaseDeDatos!$N193</f>
        <v>18032</v>
      </c>
    </row>
    <row r="194" spans="2:15">
      <c r="B194">
        <v>192</v>
      </c>
      <c r="C194" s="1">
        <v>44049</v>
      </c>
      <c r="D194">
        <v>2018401595</v>
      </c>
      <c r="E194" t="s">
        <v>23</v>
      </c>
      <c r="F194" t="s">
        <v>86</v>
      </c>
      <c r="G194" t="s">
        <v>82</v>
      </c>
      <c r="H194" t="s">
        <v>24</v>
      </c>
      <c r="I194" t="s">
        <v>25</v>
      </c>
      <c r="J194" t="s">
        <v>9</v>
      </c>
      <c r="K194" t="s">
        <v>30</v>
      </c>
      <c r="L194" t="s">
        <v>31</v>
      </c>
      <c r="M194" s="2">
        <v>178.5</v>
      </c>
      <c r="N194" s="2">
        <v>57</v>
      </c>
      <c r="O194" s="2">
        <f>BaseDeDatos!$M194*BaseDeDatos!$N194</f>
        <v>10174.5</v>
      </c>
    </row>
    <row r="195" spans="2:15">
      <c r="B195">
        <v>193</v>
      </c>
      <c r="C195" s="1">
        <v>43961</v>
      </c>
      <c r="D195">
        <v>1129934476</v>
      </c>
      <c r="E195" t="s">
        <v>42</v>
      </c>
      <c r="F195" t="s">
        <v>91</v>
      </c>
      <c r="G195" t="s">
        <v>91</v>
      </c>
      <c r="H195" t="s">
        <v>43</v>
      </c>
      <c r="I195" t="s">
        <v>8</v>
      </c>
      <c r="J195" t="s">
        <v>17</v>
      </c>
      <c r="K195" t="s">
        <v>44</v>
      </c>
      <c r="L195" t="s">
        <v>11</v>
      </c>
      <c r="M195" s="2">
        <v>41.86</v>
      </c>
      <c r="N195" s="2">
        <v>23</v>
      </c>
      <c r="O195" s="2">
        <f>BaseDeDatos!$M195*BaseDeDatos!$N195</f>
        <v>962.78</v>
      </c>
    </row>
    <row r="196" spans="2:15">
      <c r="B196">
        <v>194</v>
      </c>
      <c r="C196" s="1">
        <v>43929</v>
      </c>
      <c r="D196">
        <v>878400496</v>
      </c>
      <c r="E196" t="s">
        <v>45</v>
      </c>
      <c r="F196" t="s">
        <v>87</v>
      </c>
      <c r="G196" t="s">
        <v>87</v>
      </c>
      <c r="H196" t="s">
        <v>24</v>
      </c>
      <c r="K196" t="s">
        <v>22</v>
      </c>
      <c r="L196" t="s">
        <v>11</v>
      </c>
      <c r="M196" s="2">
        <v>644</v>
      </c>
      <c r="N196" s="2">
        <v>86</v>
      </c>
      <c r="O196" s="2">
        <f>BaseDeDatos!$M196*BaseDeDatos!$N196</f>
        <v>55384</v>
      </c>
    </row>
    <row r="197" spans="2:15">
      <c r="B197">
        <v>195</v>
      </c>
      <c r="C197" s="1">
        <v>44043</v>
      </c>
      <c r="D197">
        <v>6271764467</v>
      </c>
      <c r="E197" t="s">
        <v>42</v>
      </c>
      <c r="F197" t="s">
        <v>91</v>
      </c>
      <c r="G197" t="s">
        <v>91</v>
      </c>
      <c r="H197" t="s">
        <v>43</v>
      </c>
      <c r="I197" t="s">
        <v>16</v>
      </c>
      <c r="K197" t="s">
        <v>46</v>
      </c>
      <c r="L197" t="s">
        <v>47</v>
      </c>
      <c r="M197" s="2">
        <v>350</v>
      </c>
      <c r="N197" s="2">
        <v>47</v>
      </c>
      <c r="O197" s="2">
        <f>BaseDeDatos!$M197*BaseDeDatos!$N197</f>
        <v>16450</v>
      </c>
    </row>
    <row r="198" spans="2:15">
      <c r="B198">
        <v>196</v>
      </c>
      <c r="C198" s="1">
        <v>43853</v>
      </c>
      <c r="D198">
        <v>5954546839</v>
      </c>
      <c r="E198" t="s">
        <v>42</v>
      </c>
      <c r="F198" t="s">
        <v>91</v>
      </c>
      <c r="G198" t="s">
        <v>91</v>
      </c>
      <c r="H198" t="s">
        <v>43</v>
      </c>
      <c r="I198" t="s">
        <v>16</v>
      </c>
      <c r="K198" t="s">
        <v>48</v>
      </c>
      <c r="L198" t="s">
        <v>49</v>
      </c>
      <c r="M198" s="2">
        <v>308</v>
      </c>
      <c r="N198" s="2">
        <v>97</v>
      </c>
      <c r="O198" s="2">
        <f>BaseDeDatos!$M198*BaseDeDatos!$N198</f>
        <v>29876</v>
      </c>
    </row>
    <row r="199" spans="2:15">
      <c r="B199">
        <v>197</v>
      </c>
      <c r="C199" s="1">
        <v>43905</v>
      </c>
      <c r="D199">
        <v>1007419194</v>
      </c>
      <c r="E199" t="s">
        <v>42</v>
      </c>
      <c r="F199" t="s">
        <v>91</v>
      </c>
      <c r="G199" t="s">
        <v>91</v>
      </c>
      <c r="H199" t="s">
        <v>43</v>
      </c>
      <c r="I199" t="s">
        <v>16</v>
      </c>
      <c r="K199" t="s">
        <v>26</v>
      </c>
      <c r="L199" t="s">
        <v>27</v>
      </c>
      <c r="M199" s="2">
        <v>128.79999999999998</v>
      </c>
      <c r="N199" s="2">
        <v>96</v>
      </c>
      <c r="O199" s="2">
        <f>BaseDeDatos!$M199*BaseDeDatos!$N199</f>
        <v>12364.8</v>
      </c>
    </row>
    <row r="200" spans="2:15">
      <c r="B200">
        <v>198</v>
      </c>
      <c r="C200" s="1">
        <v>43891</v>
      </c>
      <c r="D200">
        <v>2749506386</v>
      </c>
      <c r="E200" t="s">
        <v>50</v>
      </c>
      <c r="F200" t="s">
        <v>85</v>
      </c>
      <c r="G200" t="s">
        <v>83</v>
      </c>
      <c r="H200" t="s">
        <v>41</v>
      </c>
      <c r="I200" t="s">
        <v>25</v>
      </c>
      <c r="K200" t="s">
        <v>12</v>
      </c>
      <c r="L200" t="s">
        <v>13</v>
      </c>
      <c r="M200" s="2">
        <v>49</v>
      </c>
      <c r="N200" s="2">
        <v>31</v>
      </c>
      <c r="O200" s="2">
        <f>BaseDeDatos!$M200*BaseDeDatos!$N200</f>
        <v>1519</v>
      </c>
    </row>
    <row r="201" spans="2:15">
      <c r="B201">
        <v>199</v>
      </c>
      <c r="C201" s="1">
        <v>43997</v>
      </c>
      <c r="D201">
        <v>3279160134</v>
      </c>
      <c r="E201" t="s">
        <v>50</v>
      </c>
      <c r="F201" t="s">
        <v>85</v>
      </c>
      <c r="G201" t="s">
        <v>83</v>
      </c>
      <c r="H201" t="s">
        <v>41</v>
      </c>
      <c r="I201" t="s">
        <v>25</v>
      </c>
      <c r="K201" t="s">
        <v>44</v>
      </c>
      <c r="L201" t="s">
        <v>11</v>
      </c>
      <c r="M201" s="2">
        <v>41.86</v>
      </c>
      <c r="N201" s="2">
        <v>52</v>
      </c>
      <c r="O201" s="2">
        <f>BaseDeDatos!$M201*BaseDeDatos!$N201</f>
        <v>2176.7199999999998</v>
      </c>
    </row>
    <row r="202" spans="2:15">
      <c r="B202">
        <v>200</v>
      </c>
      <c r="C202" s="1">
        <v>43994</v>
      </c>
      <c r="D202">
        <v>6789089883</v>
      </c>
      <c r="E202" t="s">
        <v>51</v>
      </c>
      <c r="F202" t="s">
        <v>90</v>
      </c>
      <c r="G202" t="s">
        <v>98</v>
      </c>
      <c r="H202" t="s">
        <v>24</v>
      </c>
      <c r="K202" t="s">
        <v>21</v>
      </c>
      <c r="L202" t="s">
        <v>11</v>
      </c>
      <c r="M202" s="2">
        <v>252</v>
      </c>
      <c r="N202" s="2">
        <v>91</v>
      </c>
      <c r="O202" s="2">
        <f>BaseDeDatos!$M202*BaseDeDatos!$N202</f>
        <v>22932</v>
      </c>
    </row>
    <row r="203" spans="2:15">
      <c r="B203">
        <v>201</v>
      </c>
      <c r="C203" s="1">
        <v>44004</v>
      </c>
      <c r="D203">
        <v>7775981065</v>
      </c>
      <c r="E203" t="s">
        <v>51</v>
      </c>
      <c r="F203" t="s">
        <v>90</v>
      </c>
      <c r="G203" t="s">
        <v>98</v>
      </c>
      <c r="H203" t="s">
        <v>24</v>
      </c>
      <c r="K203" t="s">
        <v>22</v>
      </c>
      <c r="L203" t="s">
        <v>11</v>
      </c>
      <c r="M203" s="2">
        <v>644</v>
      </c>
      <c r="N203" s="2">
        <v>14</v>
      </c>
      <c r="O203" s="2">
        <f>BaseDeDatos!$M203*BaseDeDatos!$N203</f>
        <v>9016</v>
      </c>
    </row>
    <row r="204" spans="2:15">
      <c r="B204">
        <v>202</v>
      </c>
      <c r="C204" s="1">
        <v>43923</v>
      </c>
      <c r="D204">
        <v>5357417804</v>
      </c>
      <c r="E204" t="s">
        <v>51</v>
      </c>
      <c r="F204" t="s">
        <v>90</v>
      </c>
      <c r="G204" t="s">
        <v>98</v>
      </c>
      <c r="H204" t="s">
        <v>24</v>
      </c>
      <c r="K204" t="s">
        <v>44</v>
      </c>
      <c r="L204" t="s">
        <v>11</v>
      </c>
      <c r="M204" s="2">
        <v>41.86</v>
      </c>
      <c r="N204" s="2">
        <v>44</v>
      </c>
      <c r="O204" s="2">
        <f>BaseDeDatos!$M204*BaseDeDatos!$N204</f>
        <v>1841.84</v>
      </c>
    </row>
    <row r="205" spans="2:15">
      <c r="B205">
        <v>203</v>
      </c>
      <c r="C205" s="1">
        <v>44109</v>
      </c>
      <c r="D205">
        <v>4986720222</v>
      </c>
      <c r="E205" t="s">
        <v>40</v>
      </c>
      <c r="F205" t="s">
        <v>97</v>
      </c>
      <c r="G205" t="s">
        <v>88</v>
      </c>
      <c r="H205" t="s">
        <v>41</v>
      </c>
      <c r="I205" t="s">
        <v>25</v>
      </c>
      <c r="J205" t="s">
        <v>17</v>
      </c>
      <c r="K205" t="s">
        <v>34</v>
      </c>
      <c r="L205" t="s">
        <v>35</v>
      </c>
      <c r="M205" s="2">
        <v>135.1</v>
      </c>
      <c r="N205" s="2">
        <v>97</v>
      </c>
      <c r="O205" s="2">
        <f>BaseDeDatos!$M205*BaseDeDatos!$N205</f>
        <v>13104.699999999999</v>
      </c>
    </row>
    <row r="206" spans="2:15">
      <c r="B206">
        <v>204</v>
      </c>
      <c r="C206" s="1">
        <v>43932</v>
      </c>
      <c r="D206">
        <v>9264353300</v>
      </c>
      <c r="E206" t="s">
        <v>40</v>
      </c>
      <c r="F206" t="s">
        <v>97</v>
      </c>
      <c r="G206" t="s">
        <v>88</v>
      </c>
      <c r="H206" t="s">
        <v>41</v>
      </c>
      <c r="I206" t="s">
        <v>25</v>
      </c>
      <c r="J206" t="s">
        <v>17</v>
      </c>
      <c r="K206" t="s">
        <v>52</v>
      </c>
      <c r="L206" t="s">
        <v>53</v>
      </c>
      <c r="M206" s="2">
        <v>257.59999999999997</v>
      </c>
      <c r="N206" s="2">
        <v>80</v>
      </c>
      <c r="O206" s="2">
        <f>BaseDeDatos!$M206*BaseDeDatos!$N206</f>
        <v>20607.999999999996</v>
      </c>
    </row>
    <row r="207" spans="2:15">
      <c r="B207">
        <v>205</v>
      </c>
      <c r="C207" s="1">
        <v>44131</v>
      </c>
      <c r="D207">
        <v>4507840734</v>
      </c>
      <c r="E207" t="s">
        <v>54</v>
      </c>
      <c r="F207" t="s">
        <v>89</v>
      </c>
      <c r="G207" t="s">
        <v>84</v>
      </c>
      <c r="H207" t="s">
        <v>55</v>
      </c>
      <c r="I207" t="s">
        <v>16</v>
      </c>
      <c r="J207" t="s">
        <v>9</v>
      </c>
      <c r="K207" t="s">
        <v>56</v>
      </c>
      <c r="L207" t="s">
        <v>57</v>
      </c>
      <c r="M207" s="2">
        <v>273</v>
      </c>
      <c r="N207" s="2">
        <v>66</v>
      </c>
      <c r="O207" s="2">
        <f>BaseDeDatos!$M207*BaseDeDatos!$N207</f>
        <v>18018</v>
      </c>
    </row>
    <row r="208" spans="2:15">
      <c r="B208">
        <v>206</v>
      </c>
      <c r="C208" s="1">
        <v>43926</v>
      </c>
      <c r="D208">
        <v>1926814553</v>
      </c>
      <c r="E208" t="s">
        <v>54</v>
      </c>
      <c r="F208" t="s">
        <v>89</v>
      </c>
      <c r="G208" t="s">
        <v>84</v>
      </c>
      <c r="H208" t="s">
        <v>55</v>
      </c>
      <c r="I208" t="s">
        <v>16</v>
      </c>
      <c r="J208" t="s">
        <v>9</v>
      </c>
      <c r="K208" t="s">
        <v>58</v>
      </c>
      <c r="L208" t="s">
        <v>59</v>
      </c>
      <c r="M208" s="2">
        <v>487.19999999999993</v>
      </c>
      <c r="N208" s="2">
        <v>32</v>
      </c>
      <c r="O208" s="2">
        <f>BaseDeDatos!$M208*BaseDeDatos!$N208</f>
        <v>15590.399999999998</v>
      </c>
    </row>
    <row r="209" spans="2:15">
      <c r="B209">
        <v>207</v>
      </c>
      <c r="C209" s="1">
        <v>44139</v>
      </c>
      <c r="D209">
        <v>1115906573</v>
      </c>
      <c r="E209" t="s">
        <v>36</v>
      </c>
      <c r="F209" t="s">
        <v>92</v>
      </c>
      <c r="G209" t="s">
        <v>99</v>
      </c>
      <c r="H209" t="s">
        <v>37</v>
      </c>
      <c r="I209" t="s">
        <v>8</v>
      </c>
      <c r="J209" t="s">
        <v>17</v>
      </c>
      <c r="K209" t="s">
        <v>10</v>
      </c>
      <c r="L209" t="s">
        <v>11</v>
      </c>
      <c r="M209" s="2">
        <v>196</v>
      </c>
      <c r="N209" s="2">
        <v>52</v>
      </c>
      <c r="O209" s="2">
        <f>BaseDeDatos!$M209*BaseDeDatos!$N209</f>
        <v>10192</v>
      </c>
    </row>
    <row r="210" spans="2:15">
      <c r="B210">
        <v>208</v>
      </c>
      <c r="C210" s="1">
        <v>43905</v>
      </c>
      <c r="D210">
        <v>4298972271</v>
      </c>
      <c r="E210" t="s">
        <v>23</v>
      </c>
      <c r="F210" t="s">
        <v>86</v>
      </c>
      <c r="G210" t="s">
        <v>82</v>
      </c>
      <c r="H210" t="s">
        <v>24</v>
      </c>
      <c r="I210" t="s">
        <v>8</v>
      </c>
      <c r="J210" t="s">
        <v>9</v>
      </c>
      <c r="K210" t="s">
        <v>38</v>
      </c>
      <c r="L210" t="s">
        <v>39</v>
      </c>
      <c r="M210" s="2">
        <v>560</v>
      </c>
      <c r="N210" s="2">
        <v>78</v>
      </c>
      <c r="O210" s="2">
        <f>BaseDeDatos!$M210*BaseDeDatos!$N210</f>
        <v>43680</v>
      </c>
    </row>
    <row r="211" spans="2:15">
      <c r="B211">
        <v>209</v>
      </c>
      <c r="C211" s="1">
        <v>43899</v>
      </c>
      <c r="D211">
        <v>1419202858</v>
      </c>
      <c r="E211" t="s">
        <v>23</v>
      </c>
      <c r="F211" t="s">
        <v>86</v>
      </c>
      <c r="G211" t="s">
        <v>82</v>
      </c>
      <c r="H211" t="s">
        <v>24</v>
      </c>
      <c r="I211" t="s">
        <v>8</v>
      </c>
      <c r="J211" t="s">
        <v>9</v>
      </c>
      <c r="K211" t="s">
        <v>26</v>
      </c>
      <c r="L211" t="s">
        <v>27</v>
      </c>
      <c r="M211" s="2">
        <v>128.79999999999998</v>
      </c>
      <c r="N211" s="2">
        <v>54</v>
      </c>
      <c r="O211" s="2">
        <f>BaseDeDatos!$M211*BaseDeDatos!$N211</f>
        <v>6955.1999999999989</v>
      </c>
    </row>
    <row r="212" spans="2:15">
      <c r="B212">
        <v>210</v>
      </c>
      <c r="C212" s="1">
        <v>44154</v>
      </c>
      <c r="D212">
        <v>3516608759</v>
      </c>
      <c r="E212" t="s">
        <v>62</v>
      </c>
      <c r="F212" t="s">
        <v>91</v>
      </c>
      <c r="G212" t="s">
        <v>91</v>
      </c>
      <c r="H212" t="s">
        <v>43</v>
      </c>
      <c r="I212" t="s">
        <v>16</v>
      </c>
      <c r="J212" t="s">
        <v>33</v>
      </c>
      <c r="K212" t="s">
        <v>67</v>
      </c>
      <c r="L212" t="s">
        <v>27</v>
      </c>
      <c r="M212" s="2">
        <v>140</v>
      </c>
      <c r="N212" s="2">
        <v>55</v>
      </c>
      <c r="O212" s="2">
        <f>BaseDeDatos!$M212*BaseDeDatos!$N212</f>
        <v>7700</v>
      </c>
    </row>
    <row r="213" spans="2:15">
      <c r="B213">
        <v>211</v>
      </c>
      <c r="C213" s="1">
        <v>44076</v>
      </c>
      <c r="D213">
        <v>8191358442</v>
      </c>
      <c r="E213" t="s">
        <v>63</v>
      </c>
      <c r="F213" t="s">
        <v>85</v>
      </c>
      <c r="G213" t="s">
        <v>83</v>
      </c>
      <c r="H213" t="s">
        <v>41</v>
      </c>
      <c r="I213" t="s">
        <v>25</v>
      </c>
      <c r="J213" t="s">
        <v>17</v>
      </c>
      <c r="K213" t="s">
        <v>68</v>
      </c>
      <c r="L213" t="s">
        <v>69</v>
      </c>
      <c r="M213" s="2">
        <v>298.90000000000003</v>
      </c>
      <c r="N213" s="2">
        <v>60</v>
      </c>
      <c r="O213" s="2">
        <f>BaseDeDatos!$M213*BaseDeDatos!$N213</f>
        <v>17934.000000000004</v>
      </c>
    </row>
    <row r="214" spans="2:15">
      <c r="B214">
        <v>212</v>
      </c>
      <c r="C214" s="1">
        <v>43851</v>
      </c>
      <c r="D214">
        <v>8451227157</v>
      </c>
      <c r="E214" t="s">
        <v>63</v>
      </c>
      <c r="F214" t="s">
        <v>85</v>
      </c>
      <c r="G214" t="s">
        <v>83</v>
      </c>
      <c r="H214" t="s">
        <v>41</v>
      </c>
      <c r="I214" t="s">
        <v>25</v>
      </c>
      <c r="J214" t="s">
        <v>17</v>
      </c>
      <c r="K214" t="s">
        <v>34</v>
      </c>
      <c r="L214" t="s">
        <v>35</v>
      </c>
      <c r="M214" s="2">
        <v>135.1</v>
      </c>
      <c r="N214" s="2">
        <v>19</v>
      </c>
      <c r="O214" s="2">
        <f>BaseDeDatos!$M214*BaseDeDatos!$N214</f>
        <v>2566.9</v>
      </c>
    </row>
    <row r="215" spans="2:15">
      <c r="B215">
        <v>213</v>
      </c>
      <c r="C215" s="1">
        <v>43878</v>
      </c>
      <c r="D215">
        <v>9847155245</v>
      </c>
      <c r="E215" t="s">
        <v>63</v>
      </c>
      <c r="F215" t="s">
        <v>85</v>
      </c>
      <c r="G215" t="s">
        <v>83</v>
      </c>
      <c r="H215" t="s">
        <v>41</v>
      </c>
      <c r="I215" t="s">
        <v>25</v>
      </c>
      <c r="J215" t="s">
        <v>17</v>
      </c>
      <c r="K215" t="s">
        <v>52</v>
      </c>
      <c r="L215" t="s">
        <v>53</v>
      </c>
      <c r="M215" s="2">
        <v>257.59999999999997</v>
      </c>
      <c r="N215" s="2">
        <v>66</v>
      </c>
      <c r="O215" s="2">
        <f>BaseDeDatos!$M215*BaseDeDatos!$N215</f>
        <v>17001.599999999999</v>
      </c>
    </row>
    <row r="216" spans="2:15">
      <c r="B216">
        <v>214</v>
      </c>
      <c r="C216" s="1">
        <v>43886</v>
      </c>
      <c r="D216">
        <v>5189485028</v>
      </c>
      <c r="E216" t="s">
        <v>28</v>
      </c>
      <c r="F216" t="s">
        <v>89</v>
      </c>
      <c r="G216" t="s">
        <v>84</v>
      </c>
      <c r="H216" t="s">
        <v>29</v>
      </c>
      <c r="I216" t="s">
        <v>8</v>
      </c>
      <c r="J216" t="s">
        <v>9</v>
      </c>
      <c r="K216" t="s">
        <v>10</v>
      </c>
      <c r="L216" t="s">
        <v>11</v>
      </c>
      <c r="M216" s="2">
        <v>196</v>
      </c>
      <c r="N216" s="2">
        <v>42</v>
      </c>
      <c r="O216" s="2">
        <f>BaseDeDatos!$M216*BaseDeDatos!$N216</f>
        <v>8232</v>
      </c>
    </row>
    <row r="217" spans="2:15">
      <c r="B217">
        <v>215</v>
      </c>
      <c r="C217" s="1">
        <v>44037</v>
      </c>
      <c r="D217">
        <v>2367569858</v>
      </c>
      <c r="E217" t="s">
        <v>36</v>
      </c>
      <c r="F217" t="s">
        <v>92</v>
      </c>
      <c r="G217" t="s">
        <v>99</v>
      </c>
      <c r="H217" t="s">
        <v>37</v>
      </c>
      <c r="I217" t="s">
        <v>25</v>
      </c>
      <c r="J217" t="s">
        <v>9</v>
      </c>
      <c r="K217" t="s">
        <v>30</v>
      </c>
      <c r="L217" t="s">
        <v>31</v>
      </c>
      <c r="M217" s="2">
        <v>178.5</v>
      </c>
      <c r="N217" s="2">
        <v>72</v>
      </c>
      <c r="O217" s="2">
        <f>BaseDeDatos!$M217*BaseDeDatos!$N217</f>
        <v>12852</v>
      </c>
    </row>
    <row r="218" spans="2:15">
      <c r="B218">
        <v>216</v>
      </c>
      <c r="C218" s="1">
        <v>44036</v>
      </c>
      <c r="D218">
        <v>1241520334</v>
      </c>
      <c r="E218" t="s">
        <v>14</v>
      </c>
      <c r="F218" t="s">
        <v>81</v>
      </c>
      <c r="G218" t="s">
        <v>94</v>
      </c>
      <c r="H218" t="s">
        <v>15</v>
      </c>
      <c r="I218" t="s">
        <v>16</v>
      </c>
      <c r="J218" t="s">
        <v>17</v>
      </c>
      <c r="K218" t="s">
        <v>70</v>
      </c>
      <c r="L218" t="s">
        <v>47</v>
      </c>
      <c r="M218" s="2">
        <v>1134</v>
      </c>
      <c r="N218" s="2">
        <v>32</v>
      </c>
      <c r="O218" s="2">
        <f>BaseDeDatos!$M218*BaseDeDatos!$N218</f>
        <v>36288</v>
      </c>
    </row>
    <row r="219" spans="2:15">
      <c r="B219">
        <v>217</v>
      </c>
      <c r="C219" s="1">
        <v>43895</v>
      </c>
      <c r="D219">
        <v>6999895697</v>
      </c>
      <c r="E219" t="s">
        <v>14</v>
      </c>
      <c r="F219" t="s">
        <v>81</v>
      </c>
      <c r="G219" t="s">
        <v>94</v>
      </c>
      <c r="H219" t="s">
        <v>15</v>
      </c>
      <c r="I219" t="s">
        <v>16</v>
      </c>
      <c r="J219" t="s">
        <v>17</v>
      </c>
      <c r="K219" t="s">
        <v>71</v>
      </c>
      <c r="L219" t="s">
        <v>72</v>
      </c>
      <c r="M219" s="2">
        <v>98</v>
      </c>
      <c r="N219" s="2">
        <v>76</v>
      </c>
      <c r="O219" s="2">
        <f>BaseDeDatos!$M219*BaseDeDatos!$N219</f>
        <v>7448</v>
      </c>
    </row>
    <row r="220" spans="2:15">
      <c r="B220">
        <v>218</v>
      </c>
      <c r="C220" s="1">
        <v>44026</v>
      </c>
      <c r="D220">
        <v>2931440223</v>
      </c>
      <c r="E220" t="s">
        <v>42</v>
      </c>
      <c r="F220" t="s">
        <v>91</v>
      </c>
      <c r="G220" t="s">
        <v>91</v>
      </c>
      <c r="H220" t="s">
        <v>43</v>
      </c>
      <c r="I220" t="s">
        <v>16</v>
      </c>
      <c r="K220" t="s">
        <v>26</v>
      </c>
      <c r="L220" t="s">
        <v>27</v>
      </c>
      <c r="M220" s="2">
        <v>128.79999999999998</v>
      </c>
      <c r="N220" s="2">
        <v>83</v>
      </c>
      <c r="O220" s="2">
        <f>BaseDeDatos!$M220*BaseDeDatos!$N220</f>
        <v>10690.399999999998</v>
      </c>
    </row>
    <row r="221" spans="2:15">
      <c r="B221">
        <v>219</v>
      </c>
      <c r="C221" s="1">
        <v>43965</v>
      </c>
      <c r="D221">
        <v>6045555436</v>
      </c>
      <c r="E221" t="s">
        <v>50</v>
      </c>
      <c r="F221" t="s">
        <v>85</v>
      </c>
      <c r="G221" t="s">
        <v>83</v>
      </c>
      <c r="H221" t="s">
        <v>41</v>
      </c>
      <c r="I221" t="s">
        <v>25</v>
      </c>
      <c r="K221" t="s">
        <v>12</v>
      </c>
      <c r="L221" t="s">
        <v>13</v>
      </c>
      <c r="M221" s="2">
        <v>49</v>
      </c>
      <c r="N221" s="2">
        <v>91</v>
      </c>
      <c r="O221" s="2">
        <f>BaseDeDatos!$M221*BaseDeDatos!$N221</f>
        <v>4459</v>
      </c>
    </row>
    <row r="222" spans="2:15">
      <c r="B222">
        <v>220</v>
      </c>
      <c r="C222" s="1">
        <v>44117</v>
      </c>
      <c r="D222">
        <v>4985084204</v>
      </c>
      <c r="E222" t="s">
        <v>50</v>
      </c>
      <c r="F222" t="s">
        <v>85</v>
      </c>
      <c r="G222" t="s">
        <v>83</v>
      </c>
      <c r="H222" t="s">
        <v>41</v>
      </c>
      <c r="I222" t="s">
        <v>25</v>
      </c>
      <c r="K222" t="s">
        <v>44</v>
      </c>
      <c r="L222" t="s">
        <v>11</v>
      </c>
      <c r="M222" s="2">
        <v>41.86</v>
      </c>
      <c r="N222" s="2">
        <v>64</v>
      </c>
      <c r="O222" s="2">
        <f>BaseDeDatos!$M222*BaseDeDatos!$N222</f>
        <v>2679.04</v>
      </c>
    </row>
    <row r="223" spans="2:15">
      <c r="B223">
        <v>221</v>
      </c>
      <c r="C223" s="1">
        <v>44019</v>
      </c>
      <c r="D223">
        <v>8950774476</v>
      </c>
      <c r="E223" t="s">
        <v>51</v>
      </c>
      <c r="F223" t="s">
        <v>90</v>
      </c>
      <c r="G223" t="s">
        <v>98</v>
      </c>
      <c r="H223" t="s">
        <v>24</v>
      </c>
      <c r="K223" t="s">
        <v>21</v>
      </c>
      <c r="L223" t="s">
        <v>11</v>
      </c>
      <c r="M223" s="2">
        <v>252</v>
      </c>
      <c r="N223" s="2">
        <v>58</v>
      </c>
      <c r="O223" s="2">
        <f>BaseDeDatos!$M223*BaseDeDatos!$N223</f>
        <v>14616</v>
      </c>
    </row>
    <row r="224" spans="2:15">
      <c r="B224">
        <v>222</v>
      </c>
      <c r="C224" s="1">
        <v>43977</v>
      </c>
      <c r="D224">
        <v>4091794218</v>
      </c>
      <c r="E224" t="s">
        <v>51</v>
      </c>
      <c r="F224" t="s">
        <v>90</v>
      </c>
      <c r="G224" t="s">
        <v>98</v>
      </c>
      <c r="H224" t="s">
        <v>24</v>
      </c>
      <c r="K224" t="s">
        <v>22</v>
      </c>
      <c r="L224" t="s">
        <v>11</v>
      </c>
      <c r="M224" s="2">
        <v>644</v>
      </c>
      <c r="N224" s="2">
        <v>97</v>
      </c>
      <c r="O224" s="2">
        <f>BaseDeDatos!$M224*BaseDeDatos!$N224</f>
        <v>62468</v>
      </c>
    </row>
    <row r="225" spans="2:15">
      <c r="B225">
        <v>223</v>
      </c>
      <c r="C225" s="1">
        <v>44043</v>
      </c>
      <c r="D225">
        <v>2789876793</v>
      </c>
      <c r="E225" t="s">
        <v>51</v>
      </c>
      <c r="F225" t="s">
        <v>90</v>
      </c>
      <c r="G225" t="s">
        <v>98</v>
      </c>
      <c r="H225" t="s">
        <v>24</v>
      </c>
      <c r="K225" t="s">
        <v>44</v>
      </c>
      <c r="L225" t="s">
        <v>11</v>
      </c>
      <c r="M225" s="2">
        <v>41.86</v>
      </c>
      <c r="N225" s="2">
        <v>14</v>
      </c>
      <c r="O225" s="2">
        <f>BaseDeDatos!$M225*BaseDeDatos!$N225</f>
        <v>586.04</v>
      </c>
    </row>
    <row r="226" spans="2:15">
      <c r="B226">
        <v>224</v>
      </c>
      <c r="C226" s="1">
        <v>43940</v>
      </c>
      <c r="D226">
        <v>4338385582</v>
      </c>
      <c r="E226" t="s">
        <v>40</v>
      </c>
      <c r="F226" t="s">
        <v>97</v>
      </c>
      <c r="G226" t="s">
        <v>88</v>
      </c>
      <c r="H226" t="s">
        <v>41</v>
      </c>
      <c r="I226" t="s">
        <v>25</v>
      </c>
      <c r="J226" t="s">
        <v>17</v>
      </c>
      <c r="K226" t="s">
        <v>34</v>
      </c>
      <c r="L226" t="s">
        <v>35</v>
      </c>
      <c r="M226" s="2">
        <v>135.1</v>
      </c>
      <c r="N226" s="2">
        <v>68</v>
      </c>
      <c r="O226" s="2">
        <f>BaseDeDatos!$M226*BaseDeDatos!$N226</f>
        <v>9186.7999999999993</v>
      </c>
    </row>
    <row r="227" spans="2:15">
      <c r="B227">
        <v>225</v>
      </c>
      <c r="C227" s="1">
        <v>44008</v>
      </c>
      <c r="D227">
        <v>9159410824</v>
      </c>
      <c r="E227" t="s">
        <v>40</v>
      </c>
      <c r="F227" t="s">
        <v>97</v>
      </c>
      <c r="G227" t="s">
        <v>88</v>
      </c>
      <c r="H227" t="s">
        <v>41</v>
      </c>
      <c r="I227" t="s">
        <v>25</v>
      </c>
      <c r="J227" t="s">
        <v>17</v>
      </c>
      <c r="K227" t="s">
        <v>52</v>
      </c>
      <c r="L227" t="s">
        <v>53</v>
      </c>
      <c r="M227" s="2">
        <v>257.59999999999997</v>
      </c>
      <c r="N227" s="2">
        <v>32</v>
      </c>
      <c r="O227" s="2">
        <f>BaseDeDatos!$M227*BaseDeDatos!$N227</f>
        <v>8243.1999999999989</v>
      </c>
    </row>
    <row r="228" spans="2:15">
      <c r="B228">
        <v>226</v>
      </c>
      <c r="C228" s="1">
        <v>44168</v>
      </c>
      <c r="D228">
        <v>6562657766</v>
      </c>
      <c r="E228" t="s">
        <v>54</v>
      </c>
      <c r="F228" t="s">
        <v>89</v>
      </c>
      <c r="G228" t="s">
        <v>84</v>
      </c>
      <c r="H228" t="s">
        <v>55</v>
      </c>
      <c r="I228" t="s">
        <v>16</v>
      </c>
      <c r="J228" t="s">
        <v>9</v>
      </c>
      <c r="K228" t="s">
        <v>56</v>
      </c>
      <c r="L228" t="s">
        <v>57</v>
      </c>
      <c r="M228" s="2">
        <v>273</v>
      </c>
      <c r="N228" s="2">
        <v>48</v>
      </c>
      <c r="O228" s="2">
        <f>BaseDeDatos!$M228*BaseDeDatos!$N228</f>
        <v>13104</v>
      </c>
    </row>
    <row r="229" spans="2:15">
      <c r="B229">
        <v>227</v>
      </c>
      <c r="C229" s="1">
        <v>44177</v>
      </c>
      <c r="D229">
        <v>4160634865</v>
      </c>
      <c r="E229" t="s">
        <v>54</v>
      </c>
      <c r="F229" t="s">
        <v>89</v>
      </c>
      <c r="G229" t="s">
        <v>84</v>
      </c>
      <c r="H229" t="s">
        <v>55</v>
      </c>
      <c r="I229" t="s">
        <v>16</v>
      </c>
      <c r="J229" t="s">
        <v>9</v>
      </c>
      <c r="K229" t="s">
        <v>58</v>
      </c>
      <c r="L229" t="s">
        <v>59</v>
      </c>
      <c r="M229" s="2">
        <v>487.19999999999993</v>
      </c>
      <c r="N229" s="2">
        <v>57</v>
      </c>
      <c r="O229" s="2">
        <f>BaseDeDatos!$M229*BaseDeDatos!$N229</f>
        <v>27770.399999999998</v>
      </c>
    </row>
    <row r="230" spans="2:15">
      <c r="B230">
        <v>228</v>
      </c>
      <c r="C230" s="1">
        <v>43864</v>
      </c>
      <c r="D230">
        <v>142416687</v>
      </c>
      <c r="E230" t="s">
        <v>36</v>
      </c>
      <c r="F230" t="s">
        <v>92</v>
      </c>
      <c r="G230" t="s">
        <v>99</v>
      </c>
      <c r="H230" t="s">
        <v>37</v>
      </c>
      <c r="I230" t="s">
        <v>8</v>
      </c>
      <c r="J230" t="s">
        <v>17</v>
      </c>
      <c r="K230" t="s">
        <v>10</v>
      </c>
      <c r="L230" t="s">
        <v>11</v>
      </c>
      <c r="M230" s="2">
        <v>196</v>
      </c>
      <c r="N230" s="2">
        <v>67</v>
      </c>
      <c r="O230" s="2">
        <f>BaseDeDatos!$M230*BaseDeDatos!$N230</f>
        <v>13132</v>
      </c>
    </row>
    <row r="231" spans="2:15">
      <c r="B231">
        <v>229</v>
      </c>
      <c r="C231" s="1">
        <v>43887</v>
      </c>
      <c r="D231">
        <v>6114991349</v>
      </c>
      <c r="E231" t="s">
        <v>23</v>
      </c>
      <c r="F231" t="s">
        <v>86</v>
      </c>
      <c r="G231" t="s">
        <v>82</v>
      </c>
      <c r="H231" t="s">
        <v>24</v>
      </c>
      <c r="I231" t="s">
        <v>8</v>
      </c>
      <c r="J231" t="s">
        <v>9</v>
      </c>
      <c r="K231" t="s">
        <v>38</v>
      </c>
      <c r="L231" t="s">
        <v>39</v>
      </c>
      <c r="M231" s="2">
        <v>560</v>
      </c>
      <c r="N231" s="2">
        <v>48</v>
      </c>
      <c r="O231" s="2">
        <f>BaseDeDatos!$M231*BaseDeDatos!$N231</f>
        <v>26880</v>
      </c>
    </row>
    <row r="232" spans="2:15">
      <c r="B232">
        <v>230</v>
      </c>
      <c r="C232" s="1">
        <v>43925</v>
      </c>
      <c r="D232">
        <v>6472352060</v>
      </c>
      <c r="E232" t="s">
        <v>23</v>
      </c>
      <c r="F232" t="s">
        <v>86</v>
      </c>
      <c r="G232" t="s">
        <v>82</v>
      </c>
      <c r="H232" t="s">
        <v>24</v>
      </c>
      <c r="I232" t="s">
        <v>8</v>
      </c>
      <c r="J232" t="s">
        <v>9</v>
      </c>
      <c r="K232" t="s">
        <v>26</v>
      </c>
      <c r="L232" t="s">
        <v>27</v>
      </c>
      <c r="M232" s="2">
        <v>128.79999999999998</v>
      </c>
      <c r="N232" s="2">
        <v>77</v>
      </c>
      <c r="O232" s="2">
        <f>BaseDeDatos!$M232*BaseDeDatos!$N232</f>
        <v>9917.5999999999985</v>
      </c>
    </row>
    <row r="233" spans="2:15">
      <c r="B233">
        <v>231</v>
      </c>
      <c r="C233" s="1">
        <v>43942</v>
      </c>
      <c r="D233">
        <v>5399077795</v>
      </c>
      <c r="E233" t="s">
        <v>62</v>
      </c>
      <c r="F233" t="s">
        <v>91</v>
      </c>
      <c r="G233" t="s">
        <v>91</v>
      </c>
      <c r="H233" t="s">
        <v>43</v>
      </c>
      <c r="I233" t="s">
        <v>16</v>
      </c>
      <c r="J233" t="s">
        <v>33</v>
      </c>
      <c r="K233" t="s">
        <v>67</v>
      </c>
      <c r="L233" t="s">
        <v>27</v>
      </c>
      <c r="M233" s="2">
        <v>140</v>
      </c>
      <c r="N233" s="2">
        <v>94</v>
      </c>
      <c r="O233" s="2">
        <f>BaseDeDatos!$M233*BaseDeDatos!$N233</f>
        <v>13160</v>
      </c>
    </row>
    <row r="234" spans="2:15">
      <c r="B234">
        <v>232</v>
      </c>
      <c r="C234" s="1">
        <v>44079</v>
      </c>
      <c r="D234">
        <v>6275645168</v>
      </c>
      <c r="E234" t="s">
        <v>63</v>
      </c>
      <c r="F234" t="s">
        <v>85</v>
      </c>
      <c r="G234" t="s">
        <v>83</v>
      </c>
      <c r="H234" t="s">
        <v>41</v>
      </c>
      <c r="I234" t="s">
        <v>25</v>
      </c>
      <c r="J234" t="s">
        <v>17</v>
      </c>
      <c r="K234" t="s">
        <v>68</v>
      </c>
      <c r="L234" t="s">
        <v>69</v>
      </c>
      <c r="M234" s="2">
        <v>298.90000000000003</v>
      </c>
      <c r="N234" s="2">
        <v>54</v>
      </c>
      <c r="O234" s="2">
        <f>BaseDeDatos!$M234*BaseDeDatos!$N234</f>
        <v>16140.600000000002</v>
      </c>
    </row>
    <row r="235" spans="2:15">
      <c r="B235">
        <v>233</v>
      </c>
      <c r="C235" s="1">
        <v>43882</v>
      </c>
      <c r="D235">
        <v>597069969</v>
      </c>
      <c r="E235" t="s">
        <v>63</v>
      </c>
      <c r="F235" t="s">
        <v>85</v>
      </c>
      <c r="G235" t="s">
        <v>83</v>
      </c>
      <c r="H235" t="s">
        <v>41</v>
      </c>
      <c r="I235" t="s">
        <v>25</v>
      </c>
      <c r="J235" t="s">
        <v>17</v>
      </c>
      <c r="K235" t="s">
        <v>34</v>
      </c>
      <c r="L235" t="s">
        <v>35</v>
      </c>
      <c r="M235" s="2">
        <v>135.1</v>
      </c>
      <c r="N235" s="2">
        <v>43</v>
      </c>
      <c r="O235" s="2">
        <f>BaseDeDatos!$M235*BaseDeDatos!$N235</f>
        <v>5809.3</v>
      </c>
    </row>
    <row r="236" spans="2:15">
      <c r="B236">
        <v>234</v>
      </c>
      <c r="C236" s="1">
        <v>44174</v>
      </c>
      <c r="D236">
        <v>1323169656</v>
      </c>
      <c r="E236" t="s">
        <v>63</v>
      </c>
      <c r="F236" t="s">
        <v>85</v>
      </c>
      <c r="G236" t="s">
        <v>83</v>
      </c>
      <c r="H236" t="s">
        <v>41</v>
      </c>
      <c r="I236" t="s">
        <v>25</v>
      </c>
      <c r="J236" t="s">
        <v>17</v>
      </c>
      <c r="K236" t="s">
        <v>52</v>
      </c>
      <c r="L236" t="s">
        <v>53</v>
      </c>
      <c r="M236" s="2">
        <v>257.59999999999997</v>
      </c>
      <c r="N236" s="2">
        <v>71</v>
      </c>
      <c r="O236" s="2">
        <f>BaseDeDatos!$M236*BaseDeDatos!$N236</f>
        <v>18289.599999999999</v>
      </c>
    </row>
    <row r="237" spans="2:15">
      <c r="B237">
        <v>235</v>
      </c>
      <c r="C237" s="1">
        <v>44142</v>
      </c>
      <c r="D237">
        <v>2932971142</v>
      </c>
      <c r="E237" t="s">
        <v>28</v>
      </c>
      <c r="F237" t="s">
        <v>89</v>
      </c>
      <c r="G237" t="s">
        <v>84</v>
      </c>
      <c r="H237" t="s">
        <v>29</v>
      </c>
      <c r="I237" t="s">
        <v>8</v>
      </c>
      <c r="J237" t="s">
        <v>9</v>
      </c>
      <c r="K237" t="s">
        <v>10</v>
      </c>
      <c r="L237" t="s">
        <v>11</v>
      </c>
      <c r="M237" s="2">
        <v>196</v>
      </c>
      <c r="N237" s="2">
        <v>50</v>
      </c>
      <c r="O237" s="2">
        <f>BaseDeDatos!$M237*BaseDeDatos!$N237</f>
        <v>9800</v>
      </c>
    </row>
    <row r="238" spans="2:15">
      <c r="B238">
        <v>236</v>
      </c>
      <c r="C238" s="1">
        <v>44152</v>
      </c>
      <c r="D238">
        <v>3634141900</v>
      </c>
      <c r="E238" t="s">
        <v>36</v>
      </c>
      <c r="F238" t="s">
        <v>92</v>
      </c>
      <c r="G238" t="s">
        <v>99</v>
      </c>
      <c r="H238" t="s">
        <v>37</v>
      </c>
      <c r="I238" t="s">
        <v>25</v>
      </c>
      <c r="J238" t="s">
        <v>9</v>
      </c>
      <c r="K238" t="s">
        <v>30</v>
      </c>
      <c r="L238" t="s">
        <v>31</v>
      </c>
      <c r="M238" s="2">
        <v>178.5</v>
      </c>
      <c r="N238" s="2">
        <v>96</v>
      </c>
      <c r="O238" s="2">
        <f>BaseDeDatos!$M238*BaseDeDatos!$N238</f>
        <v>17136</v>
      </c>
    </row>
    <row r="239" spans="2:15">
      <c r="B239">
        <v>237</v>
      </c>
      <c r="C239" s="1">
        <v>43926</v>
      </c>
      <c r="D239">
        <v>8872627168</v>
      </c>
      <c r="E239" t="s">
        <v>14</v>
      </c>
      <c r="F239" t="s">
        <v>81</v>
      </c>
      <c r="G239" t="s">
        <v>94</v>
      </c>
      <c r="H239" t="s">
        <v>15</v>
      </c>
      <c r="I239" t="s">
        <v>16</v>
      </c>
      <c r="J239" t="s">
        <v>17</v>
      </c>
      <c r="K239" t="s">
        <v>70</v>
      </c>
      <c r="L239" t="s">
        <v>47</v>
      </c>
      <c r="M239" s="2">
        <v>1134</v>
      </c>
      <c r="N239" s="2">
        <v>54</v>
      </c>
      <c r="O239" s="2">
        <f>BaseDeDatos!$M239*BaseDeDatos!$N239</f>
        <v>61236</v>
      </c>
    </row>
    <row r="240" spans="2:15">
      <c r="B240">
        <v>238</v>
      </c>
      <c r="C240" s="1">
        <v>43849</v>
      </c>
      <c r="D240">
        <v>5571010485</v>
      </c>
      <c r="E240" t="s">
        <v>14</v>
      </c>
      <c r="F240" t="s">
        <v>81</v>
      </c>
      <c r="G240" t="s">
        <v>94</v>
      </c>
      <c r="H240" t="s">
        <v>15</v>
      </c>
      <c r="I240" t="s">
        <v>16</v>
      </c>
      <c r="J240" t="s">
        <v>17</v>
      </c>
      <c r="K240" t="s">
        <v>71</v>
      </c>
      <c r="L240" t="s">
        <v>72</v>
      </c>
      <c r="M240" s="2">
        <v>98</v>
      </c>
      <c r="N240" s="2">
        <v>39</v>
      </c>
      <c r="O240" s="2">
        <f>BaseDeDatos!$M240*BaseDeDatos!$N240</f>
        <v>3822</v>
      </c>
    </row>
    <row r="241" spans="2:15">
      <c r="B241">
        <v>239</v>
      </c>
      <c r="C241" s="1">
        <v>43976</v>
      </c>
      <c r="D241">
        <v>7703467924</v>
      </c>
      <c r="E241" t="s">
        <v>23</v>
      </c>
      <c r="F241" t="s">
        <v>86</v>
      </c>
      <c r="G241" t="s">
        <v>82</v>
      </c>
      <c r="H241" t="s">
        <v>24</v>
      </c>
      <c r="I241" t="s">
        <v>25</v>
      </c>
      <c r="J241" t="s">
        <v>17</v>
      </c>
      <c r="K241" t="s">
        <v>58</v>
      </c>
      <c r="L241" t="s">
        <v>59</v>
      </c>
      <c r="M241" s="2">
        <v>487.19999999999993</v>
      </c>
      <c r="N241" s="2">
        <v>63</v>
      </c>
      <c r="O241" s="2">
        <f>BaseDeDatos!$M241*BaseDeDatos!$N241</f>
        <v>30693.599999999995</v>
      </c>
    </row>
    <row r="242" spans="2:15">
      <c r="B242">
        <v>240</v>
      </c>
      <c r="C242" s="1">
        <v>43844</v>
      </c>
      <c r="D242">
        <v>7747820326</v>
      </c>
      <c r="E242" t="s">
        <v>32</v>
      </c>
      <c r="F242" t="s">
        <v>93</v>
      </c>
      <c r="G242" t="s">
        <v>96</v>
      </c>
      <c r="H242" t="s">
        <v>7</v>
      </c>
      <c r="I242" t="s">
        <v>8</v>
      </c>
      <c r="J242" t="s">
        <v>33</v>
      </c>
      <c r="K242" t="s">
        <v>60</v>
      </c>
      <c r="L242" t="s">
        <v>49</v>
      </c>
      <c r="M242" s="2">
        <v>140</v>
      </c>
      <c r="N242" s="2">
        <v>71</v>
      </c>
      <c r="O242" s="2">
        <f>BaseDeDatos!$M242*BaseDeDatos!$N242</f>
        <v>9940</v>
      </c>
    </row>
    <row r="243" spans="2:15">
      <c r="B243">
        <v>241</v>
      </c>
      <c r="C243" s="1">
        <v>43858</v>
      </c>
      <c r="D243">
        <v>5769101754</v>
      </c>
      <c r="E243" t="s">
        <v>32</v>
      </c>
      <c r="F243" t="s">
        <v>93</v>
      </c>
      <c r="G243" t="s">
        <v>96</v>
      </c>
      <c r="H243" t="s">
        <v>7</v>
      </c>
      <c r="I243" t="s">
        <v>8</v>
      </c>
      <c r="J243" t="s">
        <v>33</v>
      </c>
      <c r="K243" t="s">
        <v>38</v>
      </c>
      <c r="L243" t="s">
        <v>39</v>
      </c>
      <c r="M243" s="2">
        <v>560</v>
      </c>
      <c r="N243" s="2">
        <v>88</v>
      </c>
      <c r="O243" s="2">
        <f>BaseDeDatos!$M243*BaseDeDatos!$N243</f>
        <v>49280</v>
      </c>
    </row>
    <row r="244" spans="2:15">
      <c r="B244">
        <v>242</v>
      </c>
      <c r="C244" s="1">
        <v>43891</v>
      </c>
      <c r="D244">
        <v>7427615835</v>
      </c>
      <c r="E244" t="s">
        <v>42</v>
      </c>
      <c r="F244" t="s">
        <v>91</v>
      </c>
      <c r="G244" t="s">
        <v>91</v>
      </c>
      <c r="H244" t="s">
        <v>43</v>
      </c>
      <c r="I244" t="s">
        <v>8</v>
      </c>
      <c r="J244" t="s">
        <v>17</v>
      </c>
      <c r="K244" t="s">
        <v>61</v>
      </c>
      <c r="L244" t="s">
        <v>13</v>
      </c>
      <c r="M244" s="2">
        <v>140</v>
      </c>
      <c r="N244" s="2">
        <v>59</v>
      </c>
      <c r="O244" s="2">
        <f>BaseDeDatos!$M244*BaseDeDatos!$N244</f>
        <v>8260</v>
      </c>
    </row>
    <row r="245" spans="2:15">
      <c r="B245">
        <v>243</v>
      </c>
      <c r="C245" s="1">
        <v>43984</v>
      </c>
      <c r="D245">
        <v>242336558</v>
      </c>
      <c r="E245" t="s">
        <v>36</v>
      </c>
      <c r="F245" t="s">
        <v>92</v>
      </c>
      <c r="G245" t="s">
        <v>99</v>
      </c>
      <c r="H245" t="s">
        <v>37</v>
      </c>
      <c r="I245" t="s">
        <v>8</v>
      </c>
      <c r="J245" t="s">
        <v>17</v>
      </c>
      <c r="K245" t="s">
        <v>38</v>
      </c>
      <c r="L245" t="s">
        <v>39</v>
      </c>
      <c r="M245" s="2">
        <v>560</v>
      </c>
      <c r="N245" s="2">
        <v>94</v>
      </c>
      <c r="O245" s="2">
        <f>BaseDeDatos!$M245*BaseDeDatos!$N245</f>
        <v>52640</v>
      </c>
    </row>
    <row r="246" spans="2:15">
      <c r="B246">
        <v>244</v>
      </c>
      <c r="C246" s="1">
        <v>44098</v>
      </c>
      <c r="D246">
        <v>2520819737</v>
      </c>
      <c r="E246" t="s">
        <v>40</v>
      </c>
      <c r="F246" t="s">
        <v>97</v>
      </c>
      <c r="G246" t="s">
        <v>88</v>
      </c>
      <c r="H246" t="s">
        <v>41</v>
      </c>
      <c r="I246" t="s">
        <v>25</v>
      </c>
      <c r="J246" t="s">
        <v>9</v>
      </c>
      <c r="K246" t="s">
        <v>22</v>
      </c>
      <c r="L246" t="s">
        <v>11</v>
      </c>
      <c r="M246" s="2">
        <v>644</v>
      </c>
      <c r="N246" s="2">
        <v>86</v>
      </c>
      <c r="O246" s="2">
        <f>BaseDeDatos!$M246*BaseDeDatos!$N246</f>
        <v>55384</v>
      </c>
    </row>
    <row r="247" spans="2:15">
      <c r="B247">
        <v>245</v>
      </c>
      <c r="C247" s="1">
        <v>43988</v>
      </c>
      <c r="D247">
        <v>8828389188</v>
      </c>
      <c r="E247" t="s">
        <v>23</v>
      </c>
      <c r="F247" t="s">
        <v>86</v>
      </c>
      <c r="G247" t="s">
        <v>82</v>
      </c>
      <c r="H247" t="s">
        <v>24</v>
      </c>
      <c r="I247" t="s">
        <v>25</v>
      </c>
      <c r="J247" t="s">
        <v>9</v>
      </c>
      <c r="K247" t="s">
        <v>30</v>
      </c>
      <c r="L247" t="s">
        <v>31</v>
      </c>
      <c r="M247" s="2">
        <v>178.5</v>
      </c>
      <c r="N247" s="2">
        <v>61</v>
      </c>
      <c r="O247" s="2">
        <f>BaseDeDatos!$M247*BaseDeDatos!$N247</f>
        <v>10888.5</v>
      </c>
    </row>
    <row r="248" spans="2:15">
      <c r="B248">
        <v>246</v>
      </c>
      <c r="C248" s="1">
        <v>44095</v>
      </c>
      <c r="D248">
        <v>164422904</v>
      </c>
      <c r="E248" t="s">
        <v>42</v>
      </c>
      <c r="F248" t="s">
        <v>91</v>
      </c>
      <c r="G248" t="s">
        <v>91</v>
      </c>
      <c r="H248" t="s">
        <v>43</v>
      </c>
      <c r="I248" t="s">
        <v>8</v>
      </c>
      <c r="J248" t="s">
        <v>17</v>
      </c>
      <c r="K248" t="s">
        <v>44</v>
      </c>
      <c r="L248" t="s">
        <v>11</v>
      </c>
      <c r="M248" s="2">
        <v>41.86</v>
      </c>
      <c r="N248" s="2">
        <v>32</v>
      </c>
      <c r="O248" s="2">
        <f>BaseDeDatos!$M248*BaseDeDatos!$N248</f>
        <v>1339.52</v>
      </c>
    </row>
    <row r="249" spans="2:15">
      <c r="B249">
        <v>247</v>
      </c>
      <c r="C249" s="1">
        <v>43870</v>
      </c>
      <c r="D249">
        <v>7991995786</v>
      </c>
      <c r="E249" t="s">
        <v>45</v>
      </c>
      <c r="F249" t="s">
        <v>87</v>
      </c>
      <c r="G249" t="s">
        <v>87</v>
      </c>
      <c r="H249" t="s">
        <v>24</v>
      </c>
      <c r="K249" t="s">
        <v>22</v>
      </c>
      <c r="L249" t="s">
        <v>11</v>
      </c>
      <c r="M249" s="2">
        <v>644</v>
      </c>
      <c r="N249" s="2">
        <v>62</v>
      </c>
      <c r="O249" s="2">
        <f>BaseDeDatos!$M249*BaseDeDatos!$N249</f>
        <v>39928</v>
      </c>
    </row>
    <row r="250" spans="2:15">
      <c r="B250">
        <v>248</v>
      </c>
      <c r="C250" s="1">
        <v>44113</v>
      </c>
      <c r="D250">
        <v>4149364306</v>
      </c>
      <c r="E250" t="s">
        <v>42</v>
      </c>
      <c r="F250" t="s">
        <v>91</v>
      </c>
      <c r="G250" t="s">
        <v>91</v>
      </c>
      <c r="H250" t="s">
        <v>43</v>
      </c>
      <c r="I250" t="s">
        <v>16</v>
      </c>
      <c r="K250" t="s">
        <v>46</v>
      </c>
      <c r="L250" t="s">
        <v>47</v>
      </c>
      <c r="M250" s="2">
        <v>350</v>
      </c>
      <c r="N250" s="2">
        <v>60</v>
      </c>
      <c r="O250" s="2">
        <f>BaseDeDatos!$M250*BaseDeDatos!$N250</f>
        <v>21000</v>
      </c>
    </row>
    <row r="251" spans="2:15">
      <c r="B251">
        <v>249</v>
      </c>
      <c r="C251" s="1">
        <v>44191</v>
      </c>
      <c r="D251">
        <v>6397472642</v>
      </c>
      <c r="E251" t="s">
        <v>42</v>
      </c>
      <c r="F251" t="s">
        <v>91</v>
      </c>
      <c r="G251" t="s">
        <v>91</v>
      </c>
      <c r="H251" t="s">
        <v>43</v>
      </c>
      <c r="I251" t="s">
        <v>16</v>
      </c>
      <c r="K251" t="s">
        <v>48</v>
      </c>
      <c r="L251" t="s">
        <v>49</v>
      </c>
      <c r="M251" s="2">
        <v>308</v>
      </c>
      <c r="N251" s="2">
        <v>51</v>
      </c>
      <c r="O251" s="2">
        <f>BaseDeDatos!$M251*BaseDeDatos!$N251</f>
        <v>15708</v>
      </c>
    </row>
    <row r="252" spans="2:15">
      <c r="B252">
        <v>250</v>
      </c>
      <c r="C252" s="1">
        <v>43831</v>
      </c>
      <c r="D252">
        <v>1168651383</v>
      </c>
      <c r="E252" t="s">
        <v>42</v>
      </c>
      <c r="F252" t="s">
        <v>91</v>
      </c>
      <c r="G252" t="s">
        <v>91</v>
      </c>
      <c r="H252" t="s">
        <v>43</v>
      </c>
      <c r="I252" t="s">
        <v>16</v>
      </c>
      <c r="K252" t="s">
        <v>26</v>
      </c>
      <c r="L252" t="s">
        <v>27</v>
      </c>
      <c r="M252" s="2">
        <v>128.79999999999998</v>
      </c>
      <c r="N252" s="2">
        <v>49</v>
      </c>
      <c r="O252" s="2">
        <f>BaseDeDatos!$M252*BaseDeDatos!$N252</f>
        <v>6311.1999999999989</v>
      </c>
    </row>
    <row r="253" spans="2:15">
      <c r="B253">
        <v>251</v>
      </c>
      <c r="C253" s="1">
        <v>43877</v>
      </c>
      <c r="D253">
        <v>1309311215</v>
      </c>
      <c r="E253" t="s">
        <v>50</v>
      </c>
      <c r="F253" t="s">
        <v>85</v>
      </c>
      <c r="G253" t="s">
        <v>83</v>
      </c>
      <c r="H253" t="s">
        <v>41</v>
      </c>
      <c r="I253" t="s">
        <v>25</v>
      </c>
      <c r="K253" t="s">
        <v>12</v>
      </c>
      <c r="L253" t="s">
        <v>13</v>
      </c>
      <c r="M253" s="2">
        <v>49</v>
      </c>
      <c r="N253" s="2">
        <v>20</v>
      </c>
      <c r="O253" s="2">
        <f>BaseDeDatos!$M253*BaseDeDatos!$N253</f>
        <v>980</v>
      </c>
    </row>
    <row r="254" spans="2:15">
      <c r="B254">
        <v>252</v>
      </c>
      <c r="C254" s="1">
        <v>44000</v>
      </c>
      <c r="D254">
        <v>4552083877</v>
      </c>
      <c r="E254" t="s">
        <v>50</v>
      </c>
      <c r="F254" t="s">
        <v>85</v>
      </c>
      <c r="G254" t="s">
        <v>83</v>
      </c>
      <c r="H254" t="s">
        <v>41</v>
      </c>
      <c r="I254" t="s">
        <v>25</v>
      </c>
      <c r="K254" t="s">
        <v>44</v>
      </c>
      <c r="L254" t="s">
        <v>11</v>
      </c>
      <c r="M254" s="2">
        <v>41.86</v>
      </c>
      <c r="N254" s="2">
        <v>49</v>
      </c>
      <c r="O254" s="2">
        <f>BaseDeDatos!$M254*BaseDeDatos!$N254</f>
        <v>2051.14</v>
      </c>
    </row>
    <row r="255" spans="2:15">
      <c r="B255">
        <v>253</v>
      </c>
      <c r="C255" s="1">
        <v>43906</v>
      </c>
      <c r="D255">
        <v>6119453494</v>
      </c>
      <c r="E255" t="s">
        <v>51</v>
      </c>
      <c r="F255" t="s">
        <v>90</v>
      </c>
      <c r="G255" t="s">
        <v>98</v>
      </c>
      <c r="H255" t="s">
        <v>24</v>
      </c>
      <c r="K255" t="s">
        <v>21</v>
      </c>
      <c r="L255" t="s">
        <v>11</v>
      </c>
      <c r="M255" s="2">
        <v>252</v>
      </c>
      <c r="N255" s="2">
        <v>22</v>
      </c>
      <c r="O255" s="2">
        <f>BaseDeDatos!$M255*BaseDeDatos!$N255</f>
        <v>5544</v>
      </c>
    </row>
    <row r="256" spans="2:15">
      <c r="B256">
        <v>254</v>
      </c>
      <c r="C256" s="1">
        <v>43855</v>
      </c>
      <c r="D256">
        <v>8815781249</v>
      </c>
      <c r="E256" t="s">
        <v>51</v>
      </c>
      <c r="F256" t="s">
        <v>90</v>
      </c>
      <c r="G256" t="s">
        <v>98</v>
      </c>
      <c r="H256" t="s">
        <v>24</v>
      </c>
      <c r="K256" t="s">
        <v>22</v>
      </c>
      <c r="L256" t="s">
        <v>11</v>
      </c>
      <c r="M256" s="2">
        <v>644</v>
      </c>
      <c r="N256" s="2">
        <v>73</v>
      </c>
      <c r="O256" s="2">
        <f>BaseDeDatos!$M256*BaseDeDatos!$N256</f>
        <v>47012</v>
      </c>
    </row>
    <row r="257" spans="2:15">
      <c r="B257">
        <v>255</v>
      </c>
      <c r="C257" s="1">
        <v>43984</v>
      </c>
      <c r="D257">
        <v>5308869510</v>
      </c>
      <c r="E257" t="s">
        <v>51</v>
      </c>
      <c r="F257" t="s">
        <v>90</v>
      </c>
      <c r="G257" t="s">
        <v>98</v>
      </c>
      <c r="H257" t="s">
        <v>24</v>
      </c>
      <c r="K257" t="s">
        <v>44</v>
      </c>
      <c r="L257" t="s">
        <v>11</v>
      </c>
      <c r="M257" s="2">
        <v>41.86</v>
      </c>
      <c r="N257" s="2">
        <v>85</v>
      </c>
      <c r="O257" s="2">
        <f>BaseDeDatos!$M257*BaseDeDatos!$N257</f>
        <v>3558.1</v>
      </c>
    </row>
    <row r="258" spans="2:15">
      <c r="B258">
        <v>256</v>
      </c>
      <c r="C258" s="1">
        <v>44143</v>
      </c>
      <c r="D258">
        <v>9623390930</v>
      </c>
      <c r="E258" t="s">
        <v>40</v>
      </c>
      <c r="F258" t="s">
        <v>97</v>
      </c>
      <c r="G258" t="s">
        <v>88</v>
      </c>
      <c r="H258" t="s">
        <v>41</v>
      </c>
      <c r="I258" t="s">
        <v>25</v>
      </c>
      <c r="J258" t="s">
        <v>17</v>
      </c>
      <c r="K258" t="s">
        <v>34</v>
      </c>
      <c r="L258" t="s">
        <v>35</v>
      </c>
      <c r="M258" s="2">
        <v>135.1</v>
      </c>
      <c r="N258" s="2">
        <v>44</v>
      </c>
      <c r="O258" s="2">
        <f>BaseDeDatos!$M258*BaseDeDatos!$N258</f>
        <v>5944.4</v>
      </c>
    </row>
    <row r="259" spans="2:15">
      <c r="B259">
        <v>257</v>
      </c>
      <c r="C259" s="1">
        <v>43858</v>
      </c>
      <c r="D259">
        <v>9925453816</v>
      </c>
      <c r="E259" t="s">
        <v>40</v>
      </c>
      <c r="F259" t="s">
        <v>97</v>
      </c>
      <c r="G259" t="s">
        <v>88</v>
      </c>
      <c r="H259" t="s">
        <v>41</v>
      </c>
      <c r="I259" t="s">
        <v>25</v>
      </c>
      <c r="J259" t="s">
        <v>17</v>
      </c>
      <c r="K259" t="s">
        <v>52</v>
      </c>
      <c r="L259" t="s">
        <v>53</v>
      </c>
      <c r="M259" s="2">
        <v>257.59999999999997</v>
      </c>
      <c r="N259" s="2">
        <v>24</v>
      </c>
      <c r="O259" s="2">
        <f>BaseDeDatos!$M259*BaseDeDatos!$N259</f>
        <v>6182.4</v>
      </c>
    </row>
    <row r="260" spans="2:15">
      <c r="B260">
        <v>258</v>
      </c>
      <c r="C260" s="1">
        <v>44168</v>
      </c>
      <c r="D260">
        <v>6948053333</v>
      </c>
      <c r="E260" t="s">
        <v>54</v>
      </c>
      <c r="F260" t="s">
        <v>89</v>
      </c>
      <c r="G260" t="s">
        <v>84</v>
      </c>
      <c r="H260" t="s">
        <v>55</v>
      </c>
      <c r="I260" t="s">
        <v>16</v>
      </c>
      <c r="J260" t="s">
        <v>9</v>
      </c>
      <c r="K260" t="s">
        <v>56</v>
      </c>
      <c r="L260" t="s">
        <v>57</v>
      </c>
      <c r="M260" s="2">
        <v>273</v>
      </c>
      <c r="N260" s="2">
        <v>64</v>
      </c>
      <c r="O260" s="2">
        <f>BaseDeDatos!$M260*BaseDeDatos!$N260</f>
        <v>17472</v>
      </c>
    </row>
    <row r="261" spans="2:15">
      <c r="B261">
        <v>259</v>
      </c>
      <c r="C261" s="1">
        <v>44038</v>
      </c>
      <c r="D261">
        <v>2060963898</v>
      </c>
      <c r="E261" t="s">
        <v>54</v>
      </c>
      <c r="F261" t="s">
        <v>89</v>
      </c>
      <c r="G261" t="s">
        <v>84</v>
      </c>
      <c r="H261" t="s">
        <v>55</v>
      </c>
      <c r="I261" t="s">
        <v>16</v>
      </c>
      <c r="J261" t="s">
        <v>9</v>
      </c>
      <c r="K261" t="s">
        <v>58</v>
      </c>
      <c r="L261" t="s">
        <v>59</v>
      </c>
      <c r="M261" s="2">
        <v>487.19999999999993</v>
      </c>
      <c r="N261" s="2">
        <v>70</v>
      </c>
      <c r="O261" s="2">
        <f>BaseDeDatos!$M261*BaseDeDatos!$N261</f>
        <v>34103.999999999993</v>
      </c>
    </row>
    <row r="262" spans="2:15">
      <c r="B262">
        <v>260</v>
      </c>
      <c r="C262" s="1">
        <v>44142</v>
      </c>
      <c r="D262">
        <v>2582781913</v>
      </c>
      <c r="E262" t="s">
        <v>36</v>
      </c>
      <c r="F262" t="s">
        <v>92</v>
      </c>
      <c r="G262" t="s">
        <v>99</v>
      </c>
      <c r="H262" t="s">
        <v>37</v>
      </c>
      <c r="I262" t="s">
        <v>8</v>
      </c>
      <c r="J262" t="s">
        <v>17</v>
      </c>
      <c r="K262" t="s">
        <v>10</v>
      </c>
      <c r="L262" t="s">
        <v>11</v>
      </c>
      <c r="M262" s="2">
        <v>196</v>
      </c>
      <c r="N262" s="2">
        <v>98</v>
      </c>
      <c r="O262" s="2">
        <f>BaseDeDatos!$M262*BaseDeDatos!$N262</f>
        <v>19208</v>
      </c>
    </row>
    <row r="263" spans="2:15">
      <c r="B263">
        <v>261</v>
      </c>
      <c r="C263" s="1">
        <v>44146</v>
      </c>
      <c r="D263">
        <v>2732649952</v>
      </c>
      <c r="E263" t="s">
        <v>23</v>
      </c>
      <c r="F263" t="s">
        <v>86</v>
      </c>
      <c r="G263" t="s">
        <v>82</v>
      </c>
      <c r="H263" t="s">
        <v>24</v>
      </c>
      <c r="I263" t="s">
        <v>8</v>
      </c>
      <c r="J263" t="s">
        <v>9</v>
      </c>
      <c r="K263" t="s">
        <v>38</v>
      </c>
      <c r="L263" t="s">
        <v>39</v>
      </c>
      <c r="M263" s="2">
        <v>560</v>
      </c>
      <c r="N263" s="2">
        <v>48</v>
      </c>
      <c r="O263" s="2">
        <f>BaseDeDatos!$M263*BaseDeDatos!$N263</f>
        <v>26880</v>
      </c>
    </row>
    <row r="264" spans="2:15">
      <c r="B264">
        <v>262</v>
      </c>
      <c r="C264" s="1">
        <v>43893</v>
      </c>
      <c r="D264">
        <v>4179453952</v>
      </c>
      <c r="E264" t="s">
        <v>23</v>
      </c>
      <c r="F264" t="s">
        <v>86</v>
      </c>
      <c r="G264" t="s">
        <v>82</v>
      </c>
      <c r="H264" t="s">
        <v>24</v>
      </c>
      <c r="I264" t="s">
        <v>8</v>
      </c>
      <c r="J264" t="s">
        <v>9</v>
      </c>
      <c r="K264" t="s">
        <v>26</v>
      </c>
      <c r="L264" t="s">
        <v>27</v>
      </c>
      <c r="M264" s="2">
        <v>128.79999999999998</v>
      </c>
      <c r="N264" s="2">
        <v>100</v>
      </c>
      <c r="O264" s="2">
        <f>BaseDeDatos!$M264*BaseDeDatos!$N264</f>
        <v>12879.999999999998</v>
      </c>
    </row>
    <row r="265" spans="2:15">
      <c r="B265">
        <v>263</v>
      </c>
      <c r="C265" s="1">
        <v>44130</v>
      </c>
      <c r="D265">
        <v>4339665341</v>
      </c>
      <c r="E265" t="s">
        <v>62</v>
      </c>
      <c r="F265" t="s">
        <v>91</v>
      </c>
      <c r="G265" t="s">
        <v>91</v>
      </c>
      <c r="H265" t="s">
        <v>43</v>
      </c>
      <c r="I265" t="s">
        <v>16</v>
      </c>
      <c r="J265" t="s">
        <v>33</v>
      </c>
      <c r="K265" t="s">
        <v>67</v>
      </c>
      <c r="L265" t="s">
        <v>27</v>
      </c>
      <c r="M265" s="2">
        <v>140</v>
      </c>
      <c r="N265" s="2">
        <v>90</v>
      </c>
      <c r="O265" s="2">
        <f>BaseDeDatos!$M265*BaseDeDatos!$N265</f>
        <v>12600</v>
      </c>
    </row>
    <row r="266" spans="2:15">
      <c r="B266">
        <v>264</v>
      </c>
      <c r="C266" s="1">
        <v>44077</v>
      </c>
      <c r="D266">
        <v>9193900326</v>
      </c>
      <c r="E266" t="s">
        <v>63</v>
      </c>
      <c r="F266" t="s">
        <v>85</v>
      </c>
      <c r="G266" t="s">
        <v>83</v>
      </c>
      <c r="H266" t="s">
        <v>41</v>
      </c>
      <c r="I266" t="s">
        <v>25</v>
      </c>
      <c r="J266" t="s">
        <v>17</v>
      </c>
      <c r="K266" t="s">
        <v>68</v>
      </c>
      <c r="L266" t="s">
        <v>69</v>
      </c>
      <c r="M266" s="2">
        <v>298.90000000000003</v>
      </c>
      <c r="N266" s="2">
        <v>49</v>
      </c>
      <c r="O266" s="2">
        <f>BaseDeDatos!$M266*BaseDeDatos!$N266</f>
        <v>14646.100000000002</v>
      </c>
    </row>
    <row r="267" spans="2:15">
      <c r="B267">
        <v>265</v>
      </c>
      <c r="C267" s="1">
        <v>44073</v>
      </c>
      <c r="D267">
        <v>7474169055</v>
      </c>
      <c r="E267" t="s">
        <v>63</v>
      </c>
      <c r="F267" t="s">
        <v>85</v>
      </c>
      <c r="G267" t="s">
        <v>83</v>
      </c>
      <c r="H267" t="s">
        <v>41</v>
      </c>
      <c r="I267" t="s">
        <v>25</v>
      </c>
      <c r="J267" t="s">
        <v>17</v>
      </c>
      <c r="K267" t="s">
        <v>34</v>
      </c>
      <c r="L267" t="s">
        <v>35</v>
      </c>
      <c r="M267" s="2">
        <v>135.1</v>
      </c>
      <c r="N267" s="2">
        <v>71</v>
      </c>
      <c r="O267" s="2">
        <f>BaseDeDatos!$M267*BaseDeDatos!$N267</f>
        <v>9592.1</v>
      </c>
    </row>
    <row r="268" spans="2:15">
      <c r="B268">
        <v>266</v>
      </c>
      <c r="C268" s="1">
        <v>43890</v>
      </c>
      <c r="D268">
        <v>9750138179</v>
      </c>
      <c r="E268" t="s">
        <v>63</v>
      </c>
      <c r="F268" t="s">
        <v>85</v>
      </c>
      <c r="G268" t="s">
        <v>83</v>
      </c>
      <c r="H268" t="s">
        <v>41</v>
      </c>
      <c r="I268" t="s">
        <v>25</v>
      </c>
      <c r="J268" t="s">
        <v>17</v>
      </c>
      <c r="K268" t="s">
        <v>52</v>
      </c>
      <c r="L268" t="s">
        <v>53</v>
      </c>
      <c r="M268" s="2">
        <v>257.59999999999997</v>
      </c>
      <c r="N268" s="2">
        <v>10</v>
      </c>
      <c r="O268" s="2">
        <f>BaseDeDatos!$M268*BaseDeDatos!$N268</f>
        <v>2575.9999999999995</v>
      </c>
    </row>
    <row r="269" spans="2:15">
      <c r="B269">
        <v>267</v>
      </c>
      <c r="C269" s="1">
        <v>43907</v>
      </c>
      <c r="D269">
        <v>2294414293</v>
      </c>
      <c r="E269" t="s">
        <v>28</v>
      </c>
      <c r="F269" t="s">
        <v>89</v>
      </c>
      <c r="G269" t="s">
        <v>84</v>
      </c>
      <c r="H269" t="s">
        <v>29</v>
      </c>
      <c r="I269" t="s">
        <v>8</v>
      </c>
      <c r="J269" t="s">
        <v>9</v>
      </c>
      <c r="K269" t="s">
        <v>10</v>
      </c>
      <c r="L269" t="s">
        <v>11</v>
      </c>
      <c r="M269" s="2">
        <v>196</v>
      </c>
      <c r="N269" s="2">
        <v>78</v>
      </c>
      <c r="O269" s="2">
        <f>BaseDeDatos!$M269*BaseDeDatos!$N269</f>
        <v>15288</v>
      </c>
    </row>
    <row r="270" spans="2:15">
      <c r="B270">
        <v>268</v>
      </c>
      <c r="C270" s="1">
        <v>44023</v>
      </c>
      <c r="D270">
        <v>776426288</v>
      </c>
      <c r="E270" t="s">
        <v>36</v>
      </c>
      <c r="F270" t="s">
        <v>92</v>
      </c>
      <c r="G270" t="s">
        <v>99</v>
      </c>
      <c r="H270" t="s">
        <v>37</v>
      </c>
      <c r="I270" t="s">
        <v>25</v>
      </c>
      <c r="J270" t="s">
        <v>9</v>
      </c>
      <c r="K270" t="s">
        <v>30</v>
      </c>
      <c r="L270" t="s">
        <v>31</v>
      </c>
      <c r="M270" s="2">
        <v>178.5</v>
      </c>
      <c r="N270" s="2">
        <v>44</v>
      </c>
      <c r="O270" s="2">
        <f>BaseDeDatos!$M270*BaseDeDatos!$N270</f>
        <v>7854</v>
      </c>
    </row>
    <row r="271" spans="2:15">
      <c r="B271">
        <v>269</v>
      </c>
      <c r="C271" s="1">
        <v>44109</v>
      </c>
      <c r="D271">
        <v>1245231958</v>
      </c>
      <c r="E271" t="s">
        <v>14</v>
      </c>
      <c r="F271" t="s">
        <v>81</v>
      </c>
      <c r="G271" t="s">
        <v>94</v>
      </c>
      <c r="H271" t="s">
        <v>15</v>
      </c>
      <c r="I271" t="s">
        <v>16</v>
      </c>
      <c r="J271" t="s">
        <v>17</v>
      </c>
      <c r="K271" t="s">
        <v>70</v>
      </c>
      <c r="L271" t="s">
        <v>47</v>
      </c>
      <c r="M271" s="2">
        <v>1134</v>
      </c>
      <c r="N271" s="2">
        <v>82</v>
      </c>
      <c r="O271" s="2">
        <f>BaseDeDatos!$M271*BaseDeDatos!$N271</f>
        <v>92988</v>
      </c>
    </row>
    <row r="272" spans="2:15">
      <c r="B272">
        <v>270</v>
      </c>
      <c r="C272" s="1">
        <v>43931</v>
      </c>
      <c r="D272">
        <v>2050724971</v>
      </c>
      <c r="E272" t="s">
        <v>14</v>
      </c>
      <c r="F272" t="s">
        <v>81</v>
      </c>
      <c r="G272" t="s">
        <v>94</v>
      </c>
      <c r="H272" t="s">
        <v>15</v>
      </c>
      <c r="I272" t="s">
        <v>16</v>
      </c>
      <c r="J272" t="s">
        <v>17</v>
      </c>
      <c r="K272" t="s">
        <v>71</v>
      </c>
      <c r="L272" t="s">
        <v>72</v>
      </c>
      <c r="M272" s="2">
        <v>98</v>
      </c>
      <c r="N272" s="2">
        <v>29</v>
      </c>
      <c r="O272" s="2">
        <f>BaseDeDatos!$M272*BaseDeDatos!$N272</f>
        <v>2842</v>
      </c>
    </row>
    <row r="273" spans="2:15">
      <c r="B273">
        <v>271</v>
      </c>
      <c r="C273" s="1">
        <v>44097</v>
      </c>
      <c r="D273">
        <v>9478104719</v>
      </c>
      <c r="E273" t="s">
        <v>23</v>
      </c>
      <c r="F273" t="s">
        <v>86</v>
      </c>
      <c r="G273" t="s">
        <v>82</v>
      </c>
      <c r="H273" t="s">
        <v>24</v>
      </c>
      <c r="I273" t="s">
        <v>25</v>
      </c>
      <c r="J273" t="s">
        <v>17</v>
      </c>
      <c r="K273" t="s">
        <v>58</v>
      </c>
      <c r="L273" t="s">
        <v>59</v>
      </c>
      <c r="M273" s="2">
        <v>487.19999999999993</v>
      </c>
      <c r="N273" s="2">
        <v>93</v>
      </c>
      <c r="O273" s="2">
        <f>BaseDeDatos!$M273*BaseDeDatos!$N273</f>
        <v>45309.599999999991</v>
      </c>
    </row>
    <row r="274" spans="2:15">
      <c r="B274">
        <v>272</v>
      </c>
      <c r="C274" s="1">
        <v>44131</v>
      </c>
      <c r="D274">
        <v>7620759943</v>
      </c>
      <c r="E274" t="s">
        <v>32</v>
      </c>
      <c r="F274" t="s">
        <v>93</v>
      </c>
      <c r="G274" t="s">
        <v>96</v>
      </c>
      <c r="H274" t="s">
        <v>7</v>
      </c>
      <c r="I274" t="s">
        <v>8</v>
      </c>
      <c r="J274" t="s">
        <v>33</v>
      </c>
      <c r="K274" t="s">
        <v>60</v>
      </c>
      <c r="L274" t="s">
        <v>49</v>
      </c>
      <c r="M274" s="2">
        <v>140</v>
      </c>
      <c r="N274" s="2">
        <v>11</v>
      </c>
      <c r="O274" s="2">
        <f>BaseDeDatos!$M274*BaseDeDatos!$N274</f>
        <v>1540</v>
      </c>
    </row>
    <row r="275" spans="2:15">
      <c r="B275">
        <v>273</v>
      </c>
      <c r="C275" s="1">
        <v>44173</v>
      </c>
      <c r="D275">
        <v>9345003575</v>
      </c>
      <c r="E275" t="s">
        <v>32</v>
      </c>
      <c r="F275" t="s">
        <v>93</v>
      </c>
      <c r="G275" t="s">
        <v>96</v>
      </c>
      <c r="H275" t="s">
        <v>7</v>
      </c>
      <c r="I275" t="s">
        <v>8</v>
      </c>
      <c r="J275" t="s">
        <v>33</v>
      </c>
      <c r="K275" t="s">
        <v>38</v>
      </c>
      <c r="L275" t="s">
        <v>39</v>
      </c>
      <c r="M275" s="2">
        <v>560</v>
      </c>
      <c r="N275" s="2">
        <v>91</v>
      </c>
      <c r="O275" s="2">
        <f>BaseDeDatos!$M275*BaseDeDatos!$N275</f>
        <v>50960</v>
      </c>
    </row>
    <row r="276" spans="2:15">
      <c r="B276">
        <v>274</v>
      </c>
      <c r="C276" s="1">
        <v>44123</v>
      </c>
      <c r="D276">
        <v>5988072690</v>
      </c>
      <c r="E276" t="s">
        <v>42</v>
      </c>
      <c r="F276" t="s">
        <v>91</v>
      </c>
      <c r="G276" t="s">
        <v>91</v>
      </c>
      <c r="H276" t="s">
        <v>43</v>
      </c>
      <c r="I276" t="s">
        <v>8</v>
      </c>
      <c r="J276" t="s">
        <v>17</v>
      </c>
      <c r="K276" t="s">
        <v>61</v>
      </c>
      <c r="L276" t="s">
        <v>13</v>
      </c>
      <c r="M276" s="2">
        <v>140</v>
      </c>
      <c r="N276" s="2">
        <v>12</v>
      </c>
      <c r="O276" s="2">
        <f>BaseDeDatos!$M276*BaseDeDatos!$N276</f>
        <v>1680</v>
      </c>
    </row>
    <row r="277" spans="2:15">
      <c r="B277">
        <v>275</v>
      </c>
      <c r="C277" s="1">
        <v>44028</v>
      </c>
      <c r="D277">
        <v>5113488625</v>
      </c>
      <c r="E277" t="s">
        <v>42</v>
      </c>
      <c r="F277" t="s">
        <v>91</v>
      </c>
      <c r="G277" t="s">
        <v>91</v>
      </c>
      <c r="H277" t="s">
        <v>43</v>
      </c>
      <c r="I277" t="s">
        <v>16</v>
      </c>
      <c r="K277" t="s">
        <v>12</v>
      </c>
      <c r="L277" t="s">
        <v>13</v>
      </c>
      <c r="M277" s="2">
        <v>49</v>
      </c>
      <c r="N277" s="2">
        <v>78</v>
      </c>
      <c r="O277" s="2">
        <f>BaseDeDatos!$M277*BaseDeDatos!$N277</f>
        <v>3822</v>
      </c>
    </row>
    <row r="278" spans="2:15">
      <c r="B278">
        <v>276</v>
      </c>
      <c r="C278" s="1">
        <v>43915</v>
      </c>
      <c r="D278">
        <v>8021429259</v>
      </c>
      <c r="E278" t="s">
        <v>50</v>
      </c>
      <c r="F278" t="s">
        <v>85</v>
      </c>
      <c r="G278" t="s">
        <v>83</v>
      </c>
      <c r="H278" t="s">
        <v>41</v>
      </c>
      <c r="I278" t="s">
        <v>25</v>
      </c>
      <c r="K278" t="s">
        <v>38</v>
      </c>
      <c r="L278" t="s">
        <v>39</v>
      </c>
      <c r="M278" s="2">
        <v>560</v>
      </c>
      <c r="N278" s="2">
        <v>60</v>
      </c>
      <c r="O278" s="2">
        <f>BaseDeDatos!$M278*BaseDeDatos!$N278</f>
        <v>33600</v>
      </c>
    </row>
    <row r="279" spans="2:15">
      <c r="B279">
        <v>277</v>
      </c>
      <c r="C279" s="1">
        <v>43906</v>
      </c>
      <c r="D279">
        <v>680211800</v>
      </c>
      <c r="E279" t="s">
        <v>51</v>
      </c>
      <c r="F279" t="s">
        <v>90</v>
      </c>
      <c r="G279" t="s">
        <v>98</v>
      </c>
      <c r="H279" t="s">
        <v>24</v>
      </c>
      <c r="I279" t="s">
        <v>25</v>
      </c>
      <c r="K279" t="s">
        <v>52</v>
      </c>
      <c r="L279" t="s">
        <v>53</v>
      </c>
      <c r="M279" s="2">
        <v>257.59999999999997</v>
      </c>
      <c r="N279" s="2">
        <v>23</v>
      </c>
      <c r="O279" s="2">
        <f>BaseDeDatos!$M279*BaseDeDatos!$N279</f>
        <v>5924.7999999999993</v>
      </c>
    </row>
    <row r="280" spans="2:15">
      <c r="B280">
        <v>278</v>
      </c>
      <c r="C280" s="1">
        <v>44092</v>
      </c>
      <c r="D280">
        <v>2635806056</v>
      </c>
      <c r="E280" t="s">
        <v>40</v>
      </c>
      <c r="F280" t="s">
        <v>97</v>
      </c>
      <c r="G280" t="s">
        <v>88</v>
      </c>
      <c r="H280" t="s">
        <v>41</v>
      </c>
      <c r="I280" t="s">
        <v>25</v>
      </c>
      <c r="J280" t="s">
        <v>17</v>
      </c>
      <c r="K280" t="s">
        <v>22</v>
      </c>
      <c r="L280" t="s">
        <v>11</v>
      </c>
      <c r="M280" s="2">
        <v>644</v>
      </c>
      <c r="N280" s="2">
        <v>34</v>
      </c>
      <c r="O280" s="2">
        <f>BaseDeDatos!$M280*BaseDeDatos!$N280</f>
        <v>21896</v>
      </c>
    </row>
    <row r="281" spans="2:15">
      <c r="B281">
        <v>279</v>
      </c>
      <c r="C281" s="1">
        <v>44073</v>
      </c>
      <c r="D281">
        <v>3338515953</v>
      </c>
      <c r="E281" t="s">
        <v>54</v>
      </c>
      <c r="F281" t="s">
        <v>89</v>
      </c>
      <c r="G281" t="s">
        <v>84</v>
      </c>
      <c r="H281" t="s">
        <v>55</v>
      </c>
      <c r="I281" t="s">
        <v>16</v>
      </c>
      <c r="J281" t="s">
        <v>9</v>
      </c>
      <c r="K281" t="s">
        <v>34</v>
      </c>
      <c r="L281" t="s">
        <v>35</v>
      </c>
      <c r="M281" s="2">
        <v>135.1</v>
      </c>
      <c r="N281" s="2">
        <v>89</v>
      </c>
      <c r="O281" s="2">
        <f>BaseDeDatos!$M281*BaseDeDatos!$N281</f>
        <v>12023.9</v>
      </c>
    </row>
    <row r="282" spans="2:15">
      <c r="B282">
        <v>280</v>
      </c>
      <c r="C282" s="1">
        <v>44106</v>
      </c>
      <c r="D282">
        <v>3075758565</v>
      </c>
      <c r="E282" t="s">
        <v>36</v>
      </c>
      <c r="F282" t="s">
        <v>92</v>
      </c>
      <c r="G282" t="s">
        <v>99</v>
      </c>
      <c r="H282" t="s">
        <v>37</v>
      </c>
      <c r="I282" t="s">
        <v>8</v>
      </c>
      <c r="J282" t="s">
        <v>17</v>
      </c>
      <c r="K282" t="s">
        <v>30</v>
      </c>
      <c r="L282" t="s">
        <v>31</v>
      </c>
      <c r="M282" s="2">
        <v>178.5</v>
      </c>
      <c r="N282" s="2">
        <v>82</v>
      </c>
      <c r="O282" s="2">
        <f>BaseDeDatos!$M282*BaseDeDatos!$N282</f>
        <v>14637</v>
      </c>
    </row>
    <row r="283" spans="2:15">
      <c r="B283">
        <v>281</v>
      </c>
      <c r="C283" s="1">
        <v>44160</v>
      </c>
      <c r="D283">
        <v>5383209032</v>
      </c>
      <c r="E283" t="s">
        <v>23</v>
      </c>
      <c r="F283" t="s">
        <v>86</v>
      </c>
      <c r="G283" t="s">
        <v>82</v>
      </c>
      <c r="H283" t="s">
        <v>24</v>
      </c>
      <c r="I283" t="s">
        <v>8</v>
      </c>
      <c r="J283" t="s">
        <v>9</v>
      </c>
      <c r="K283" t="s">
        <v>30</v>
      </c>
      <c r="L283" t="s">
        <v>31</v>
      </c>
      <c r="M283" s="2">
        <v>178.5</v>
      </c>
      <c r="N283" s="2">
        <v>43</v>
      </c>
      <c r="O283" s="2">
        <f>BaseDeDatos!$M283*BaseDeDatos!$N283</f>
        <v>7675.5</v>
      </c>
    </row>
    <row r="284" spans="2:15">
      <c r="B284">
        <v>282</v>
      </c>
      <c r="C284" s="1">
        <v>44068</v>
      </c>
      <c r="D284">
        <v>9635546425</v>
      </c>
      <c r="E284" t="s">
        <v>42</v>
      </c>
      <c r="F284" t="s">
        <v>91</v>
      </c>
      <c r="G284" t="s">
        <v>91</v>
      </c>
      <c r="H284" t="s">
        <v>43</v>
      </c>
      <c r="I284" t="s">
        <v>16</v>
      </c>
      <c r="K284" t="s">
        <v>48</v>
      </c>
      <c r="L284" t="s">
        <v>49</v>
      </c>
      <c r="M284" s="2">
        <v>308</v>
      </c>
      <c r="N284" s="2">
        <v>96</v>
      </c>
      <c r="O284" s="2">
        <f>BaseDeDatos!$M284*BaseDeDatos!$N284</f>
        <v>29568</v>
      </c>
    </row>
    <row r="285" spans="2:15">
      <c r="B285">
        <v>283</v>
      </c>
      <c r="C285" s="1">
        <v>44073</v>
      </c>
      <c r="D285">
        <v>3501364052</v>
      </c>
      <c r="E285" t="s">
        <v>42</v>
      </c>
      <c r="F285" t="s">
        <v>91</v>
      </c>
      <c r="G285" t="s">
        <v>91</v>
      </c>
      <c r="H285" t="s">
        <v>43</v>
      </c>
      <c r="I285" t="s">
        <v>16</v>
      </c>
      <c r="K285" t="s">
        <v>26</v>
      </c>
      <c r="L285" t="s">
        <v>27</v>
      </c>
      <c r="M285" s="2">
        <v>128.79999999999998</v>
      </c>
      <c r="N285" s="2">
        <v>34</v>
      </c>
      <c r="O285" s="2">
        <f>BaseDeDatos!$M285*BaseDeDatos!$N285</f>
        <v>4379.2</v>
      </c>
    </row>
    <row r="286" spans="2:15">
      <c r="B286">
        <v>284</v>
      </c>
      <c r="C286" s="1">
        <v>43992</v>
      </c>
      <c r="D286">
        <v>2226825043</v>
      </c>
      <c r="E286" t="s">
        <v>50</v>
      </c>
      <c r="F286" t="s">
        <v>85</v>
      </c>
      <c r="G286" t="s">
        <v>83</v>
      </c>
      <c r="H286" t="s">
        <v>41</v>
      </c>
      <c r="I286" t="s">
        <v>25</v>
      </c>
      <c r="K286" t="s">
        <v>12</v>
      </c>
      <c r="L286" t="s">
        <v>13</v>
      </c>
      <c r="M286" s="2">
        <v>49</v>
      </c>
      <c r="N286" s="2">
        <v>42</v>
      </c>
      <c r="O286" s="2">
        <f>BaseDeDatos!$M286*BaseDeDatos!$N286</f>
        <v>2058</v>
      </c>
    </row>
    <row r="287" spans="2:15">
      <c r="B287">
        <v>285</v>
      </c>
      <c r="C287" s="1">
        <v>43883</v>
      </c>
      <c r="D287">
        <v>6321323029</v>
      </c>
      <c r="E287" t="s">
        <v>50</v>
      </c>
      <c r="F287" t="s">
        <v>85</v>
      </c>
      <c r="G287" t="s">
        <v>83</v>
      </c>
      <c r="H287" t="s">
        <v>41</v>
      </c>
      <c r="I287" t="s">
        <v>25</v>
      </c>
      <c r="K287" t="s">
        <v>44</v>
      </c>
      <c r="L287" t="s">
        <v>11</v>
      </c>
      <c r="M287" s="2">
        <v>41.86</v>
      </c>
      <c r="N287" s="2">
        <v>100</v>
      </c>
      <c r="O287" s="2">
        <f>BaseDeDatos!$M287*BaseDeDatos!$N287</f>
        <v>4186</v>
      </c>
    </row>
    <row r="288" spans="2:15">
      <c r="B288">
        <v>286</v>
      </c>
      <c r="C288" s="1">
        <v>44168</v>
      </c>
      <c r="D288">
        <v>3775524143</v>
      </c>
      <c r="E288" t="s">
        <v>51</v>
      </c>
      <c r="F288" t="s">
        <v>90</v>
      </c>
      <c r="G288" t="s">
        <v>98</v>
      </c>
      <c r="H288" t="s">
        <v>24</v>
      </c>
      <c r="K288" t="s">
        <v>21</v>
      </c>
      <c r="L288" t="s">
        <v>11</v>
      </c>
      <c r="M288" s="2">
        <v>252</v>
      </c>
      <c r="N288" s="2">
        <v>42</v>
      </c>
      <c r="O288" s="2">
        <f>BaseDeDatos!$M288*BaseDeDatos!$N288</f>
        <v>10584</v>
      </c>
    </row>
    <row r="289" spans="2:15">
      <c r="B289">
        <v>287</v>
      </c>
      <c r="C289" s="1">
        <v>44044</v>
      </c>
      <c r="D289">
        <v>9543041808</v>
      </c>
      <c r="E289" t="s">
        <v>51</v>
      </c>
      <c r="F289" t="s">
        <v>90</v>
      </c>
      <c r="G289" t="s">
        <v>98</v>
      </c>
      <c r="H289" t="s">
        <v>24</v>
      </c>
      <c r="K289" t="s">
        <v>22</v>
      </c>
      <c r="L289" t="s">
        <v>11</v>
      </c>
      <c r="M289" s="2">
        <v>644</v>
      </c>
      <c r="N289" s="2">
        <v>16</v>
      </c>
      <c r="O289" s="2">
        <f>BaseDeDatos!$M289*BaseDeDatos!$N289</f>
        <v>10304</v>
      </c>
    </row>
    <row r="290" spans="2:15">
      <c r="B290">
        <v>288</v>
      </c>
      <c r="C290" s="1">
        <v>43954</v>
      </c>
      <c r="D290">
        <v>547647770</v>
      </c>
      <c r="E290" t="s">
        <v>51</v>
      </c>
      <c r="F290" t="s">
        <v>90</v>
      </c>
      <c r="G290" t="s">
        <v>98</v>
      </c>
      <c r="H290" t="s">
        <v>24</v>
      </c>
      <c r="K290" t="s">
        <v>44</v>
      </c>
      <c r="L290" t="s">
        <v>11</v>
      </c>
      <c r="M290" s="2">
        <v>41.86</v>
      </c>
      <c r="N290" s="2">
        <v>22</v>
      </c>
      <c r="O290" s="2">
        <f>BaseDeDatos!$M290*BaseDeDatos!$N290</f>
        <v>920.92</v>
      </c>
    </row>
    <row r="291" spans="2:15">
      <c r="B291">
        <v>289</v>
      </c>
      <c r="C291" s="1">
        <v>44106</v>
      </c>
      <c r="D291">
        <v>7120228607</v>
      </c>
      <c r="E291" t="s">
        <v>40</v>
      </c>
      <c r="F291" t="s">
        <v>97</v>
      </c>
      <c r="G291" t="s">
        <v>88</v>
      </c>
      <c r="H291" t="s">
        <v>41</v>
      </c>
      <c r="I291" t="s">
        <v>25</v>
      </c>
      <c r="J291" t="s">
        <v>17</v>
      </c>
      <c r="K291" t="s">
        <v>34</v>
      </c>
      <c r="L291" t="s">
        <v>35</v>
      </c>
      <c r="M291" s="2">
        <v>135.1</v>
      </c>
      <c r="N291" s="2">
        <v>46</v>
      </c>
      <c r="O291" s="2">
        <f>BaseDeDatos!$M291*BaseDeDatos!$N291</f>
        <v>6214.5999999999995</v>
      </c>
    </row>
    <row r="292" spans="2:15">
      <c r="B292">
        <v>290</v>
      </c>
      <c r="C292" s="1">
        <v>43837</v>
      </c>
      <c r="D292">
        <v>5554565190</v>
      </c>
      <c r="E292" t="s">
        <v>40</v>
      </c>
      <c r="F292" t="s">
        <v>97</v>
      </c>
      <c r="G292" t="s">
        <v>88</v>
      </c>
      <c r="H292" t="s">
        <v>41</v>
      </c>
      <c r="I292" t="s">
        <v>25</v>
      </c>
      <c r="J292" t="s">
        <v>17</v>
      </c>
      <c r="K292" t="s">
        <v>52</v>
      </c>
      <c r="L292" t="s">
        <v>53</v>
      </c>
      <c r="M292" s="2">
        <v>257.59999999999997</v>
      </c>
      <c r="N292" s="2">
        <v>100</v>
      </c>
      <c r="O292" s="2">
        <f>BaseDeDatos!$M292*BaseDeDatos!$N292</f>
        <v>25759.999999999996</v>
      </c>
    </row>
    <row r="293" spans="2:15">
      <c r="B293">
        <v>291</v>
      </c>
      <c r="C293" s="1">
        <v>43866</v>
      </c>
      <c r="D293">
        <v>1644848787</v>
      </c>
      <c r="E293" t="s">
        <v>54</v>
      </c>
      <c r="F293" t="s">
        <v>89</v>
      </c>
      <c r="G293" t="s">
        <v>84</v>
      </c>
      <c r="H293" t="s">
        <v>55</v>
      </c>
      <c r="I293" t="s">
        <v>16</v>
      </c>
      <c r="J293" t="s">
        <v>9</v>
      </c>
      <c r="K293" t="s">
        <v>56</v>
      </c>
      <c r="L293" t="s">
        <v>57</v>
      </c>
      <c r="M293" s="2">
        <v>273</v>
      </c>
      <c r="N293" s="2">
        <v>87</v>
      </c>
      <c r="O293" s="2">
        <f>BaseDeDatos!$M293*BaseDeDatos!$N293</f>
        <v>23751</v>
      </c>
    </row>
    <row r="294" spans="2:15">
      <c r="B294">
        <v>292</v>
      </c>
      <c r="C294" s="1">
        <v>43923</v>
      </c>
      <c r="D294">
        <v>8273786477</v>
      </c>
      <c r="E294" t="s">
        <v>54</v>
      </c>
      <c r="F294" t="s">
        <v>89</v>
      </c>
      <c r="G294" t="s">
        <v>84</v>
      </c>
      <c r="H294" t="s">
        <v>55</v>
      </c>
      <c r="I294" t="s">
        <v>16</v>
      </c>
      <c r="J294" t="s">
        <v>9</v>
      </c>
      <c r="K294" t="s">
        <v>58</v>
      </c>
      <c r="L294" t="s">
        <v>59</v>
      </c>
      <c r="M294" s="2">
        <v>487.19999999999993</v>
      </c>
      <c r="N294" s="2">
        <v>58</v>
      </c>
      <c r="O294" s="2">
        <f>BaseDeDatos!$M294*BaseDeDatos!$N294</f>
        <v>28257.599999999995</v>
      </c>
    </row>
    <row r="295" spans="2:15">
      <c r="B295">
        <v>293</v>
      </c>
      <c r="C295" s="1">
        <v>44062</v>
      </c>
      <c r="D295">
        <v>1397118248</v>
      </c>
      <c r="E295" t="s">
        <v>36</v>
      </c>
      <c r="F295" t="s">
        <v>92</v>
      </c>
      <c r="G295" t="s">
        <v>99</v>
      </c>
      <c r="H295" t="s">
        <v>37</v>
      </c>
      <c r="I295" t="s">
        <v>8</v>
      </c>
      <c r="J295" t="s">
        <v>17</v>
      </c>
      <c r="K295" t="s">
        <v>10</v>
      </c>
      <c r="L295" t="s">
        <v>11</v>
      </c>
      <c r="M295" s="2">
        <v>196</v>
      </c>
      <c r="N295" s="2">
        <v>85</v>
      </c>
      <c r="O295" s="2">
        <f>BaseDeDatos!$M295*BaseDeDatos!$N295</f>
        <v>16660</v>
      </c>
    </row>
    <row r="296" spans="2:15">
      <c r="B296">
        <v>294</v>
      </c>
      <c r="C296" s="1">
        <v>43959</v>
      </c>
      <c r="D296">
        <v>4468604310</v>
      </c>
      <c r="E296" t="s">
        <v>23</v>
      </c>
      <c r="F296" t="s">
        <v>86</v>
      </c>
      <c r="G296" t="s">
        <v>82</v>
      </c>
      <c r="H296" t="s">
        <v>24</v>
      </c>
      <c r="I296" t="s">
        <v>8</v>
      </c>
      <c r="J296" t="s">
        <v>9</v>
      </c>
      <c r="K296" t="s">
        <v>38</v>
      </c>
      <c r="L296" t="s">
        <v>39</v>
      </c>
      <c r="M296" s="2">
        <v>560</v>
      </c>
      <c r="N296" s="2">
        <v>28</v>
      </c>
      <c r="O296" s="2">
        <f>BaseDeDatos!$M296*BaseDeDatos!$N296</f>
        <v>15680</v>
      </c>
    </row>
    <row r="297" spans="2:15">
      <c r="B297">
        <v>295</v>
      </c>
      <c r="C297" s="1">
        <v>44178</v>
      </c>
      <c r="D297">
        <v>457458721</v>
      </c>
      <c r="E297" t="s">
        <v>23</v>
      </c>
      <c r="F297" t="s">
        <v>86</v>
      </c>
      <c r="G297" t="s">
        <v>82</v>
      </c>
      <c r="H297" t="s">
        <v>24</v>
      </c>
      <c r="I297" t="s">
        <v>8</v>
      </c>
      <c r="J297" t="s">
        <v>9</v>
      </c>
      <c r="K297" t="s">
        <v>26</v>
      </c>
      <c r="L297" t="s">
        <v>27</v>
      </c>
      <c r="M297" s="2">
        <v>128.79999999999998</v>
      </c>
      <c r="N297" s="2">
        <v>19</v>
      </c>
      <c r="O297" s="2">
        <f>BaseDeDatos!$M297*BaseDeDatos!$N297</f>
        <v>2447.1999999999998</v>
      </c>
    </row>
    <row r="298" spans="2:15">
      <c r="B298">
        <v>296</v>
      </c>
      <c r="C298" s="1">
        <v>43990</v>
      </c>
      <c r="D298">
        <v>7184663808</v>
      </c>
      <c r="E298" t="s">
        <v>62</v>
      </c>
      <c r="F298" t="s">
        <v>91</v>
      </c>
      <c r="G298" t="s">
        <v>91</v>
      </c>
      <c r="H298" t="s">
        <v>43</v>
      </c>
      <c r="I298" t="s">
        <v>16</v>
      </c>
      <c r="J298" t="s">
        <v>33</v>
      </c>
      <c r="K298" t="s">
        <v>67</v>
      </c>
      <c r="L298" t="s">
        <v>27</v>
      </c>
      <c r="M298" s="2">
        <v>140</v>
      </c>
      <c r="N298" s="2">
        <v>99</v>
      </c>
      <c r="O298" s="2">
        <f>BaseDeDatos!$M298*BaseDeDatos!$N298</f>
        <v>13860</v>
      </c>
    </row>
    <row r="299" spans="2:15">
      <c r="B299">
        <v>297</v>
      </c>
      <c r="C299" s="1">
        <v>44087</v>
      </c>
      <c r="D299">
        <v>3449599231</v>
      </c>
      <c r="E299" t="s">
        <v>63</v>
      </c>
      <c r="F299" t="s">
        <v>85</v>
      </c>
      <c r="G299" t="s">
        <v>83</v>
      </c>
      <c r="H299" t="s">
        <v>41</v>
      </c>
      <c r="I299" t="s">
        <v>25</v>
      </c>
      <c r="J299" t="s">
        <v>17</v>
      </c>
      <c r="K299" t="s">
        <v>68</v>
      </c>
      <c r="L299" t="s">
        <v>69</v>
      </c>
      <c r="M299" s="2">
        <v>298.90000000000003</v>
      </c>
      <c r="N299" s="2">
        <v>69</v>
      </c>
      <c r="O299" s="2">
        <f>BaseDeDatos!$M299*BaseDeDatos!$N299</f>
        <v>20624.100000000002</v>
      </c>
    </row>
    <row r="300" spans="2:15">
      <c r="B300">
        <v>298</v>
      </c>
      <c r="C300" s="1">
        <v>44168</v>
      </c>
      <c r="D300">
        <v>3901461858</v>
      </c>
      <c r="E300" t="s">
        <v>63</v>
      </c>
      <c r="F300" t="s">
        <v>85</v>
      </c>
      <c r="G300" t="s">
        <v>83</v>
      </c>
      <c r="H300" t="s">
        <v>41</v>
      </c>
      <c r="I300" t="s">
        <v>25</v>
      </c>
      <c r="J300" t="s">
        <v>17</v>
      </c>
      <c r="K300" t="s">
        <v>34</v>
      </c>
      <c r="L300" t="s">
        <v>35</v>
      </c>
      <c r="M300" s="2">
        <v>135.1</v>
      </c>
      <c r="N300" s="2">
        <v>37</v>
      </c>
      <c r="O300" s="2">
        <f>BaseDeDatos!$M300*BaseDeDatos!$N300</f>
        <v>4998.7</v>
      </c>
    </row>
    <row r="301" spans="2:15">
      <c r="B301">
        <v>299</v>
      </c>
      <c r="C301" s="1">
        <v>43922</v>
      </c>
      <c r="D301">
        <v>6798892819</v>
      </c>
      <c r="E301" t="s">
        <v>63</v>
      </c>
      <c r="F301" t="s">
        <v>85</v>
      </c>
      <c r="G301" t="s">
        <v>83</v>
      </c>
      <c r="H301" t="s">
        <v>41</v>
      </c>
      <c r="I301" t="s">
        <v>25</v>
      </c>
      <c r="J301" t="s">
        <v>17</v>
      </c>
      <c r="K301" t="s">
        <v>52</v>
      </c>
      <c r="L301" t="s">
        <v>53</v>
      </c>
      <c r="M301" s="2">
        <v>257.59999999999997</v>
      </c>
      <c r="N301" s="2">
        <v>64</v>
      </c>
      <c r="O301" s="2">
        <f>BaseDeDatos!$M301*BaseDeDatos!$N301</f>
        <v>16486.399999999998</v>
      </c>
    </row>
    <row r="302" spans="2:15">
      <c r="B302">
        <v>300</v>
      </c>
      <c r="C302" s="1">
        <v>44130</v>
      </c>
      <c r="D302">
        <v>6897506437</v>
      </c>
      <c r="E302" t="s">
        <v>28</v>
      </c>
      <c r="F302" t="s">
        <v>89</v>
      </c>
      <c r="G302" t="s">
        <v>84</v>
      </c>
      <c r="H302" t="s">
        <v>29</v>
      </c>
      <c r="I302" t="s">
        <v>8</v>
      </c>
      <c r="J302" t="s">
        <v>9</v>
      </c>
      <c r="K302" t="s">
        <v>10</v>
      </c>
      <c r="L302" t="s">
        <v>11</v>
      </c>
      <c r="M302" s="2">
        <v>196</v>
      </c>
      <c r="N302" s="2">
        <v>38</v>
      </c>
      <c r="O302" s="2">
        <f>BaseDeDatos!$M302*BaseDeDatos!$N302</f>
        <v>7448</v>
      </c>
    </row>
    <row r="303" spans="2:15">
      <c r="B303">
        <v>301</v>
      </c>
      <c r="C303" s="1">
        <v>44124</v>
      </c>
      <c r="D303">
        <v>6298594113</v>
      </c>
      <c r="E303" t="s">
        <v>36</v>
      </c>
      <c r="F303" t="s">
        <v>92</v>
      </c>
      <c r="G303" t="s">
        <v>99</v>
      </c>
      <c r="H303" t="s">
        <v>37</v>
      </c>
      <c r="I303" t="s">
        <v>25</v>
      </c>
      <c r="J303" t="s">
        <v>9</v>
      </c>
      <c r="K303" t="s">
        <v>30</v>
      </c>
      <c r="L303" t="s">
        <v>31</v>
      </c>
      <c r="M303" s="2">
        <v>178.5</v>
      </c>
      <c r="N303" s="2">
        <v>15</v>
      </c>
      <c r="O303" s="2">
        <f>BaseDeDatos!$M303*BaseDeDatos!$N303</f>
        <v>2677.5</v>
      </c>
    </row>
    <row r="304" spans="2:15">
      <c r="B304">
        <v>302</v>
      </c>
      <c r="C304" s="1">
        <v>43984</v>
      </c>
      <c r="D304">
        <v>6972691420</v>
      </c>
      <c r="E304" t="s">
        <v>14</v>
      </c>
      <c r="F304" t="s">
        <v>81</v>
      </c>
      <c r="G304" t="s">
        <v>94</v>
      </c>
      <c r="H304" t="s">
        <v>15</v>
      </c>
      <c r="I304" t="s">
        <v>16</v>
      </c>
      <c r="J304" t="s">
        <v>17</v>
      </c>
      <c r="K304" t="s">
        <v>70</v>
      </c>
      <c r="L304" t="s">
        <v>47</v>
      </c>
      <c r="M304" s="2">
        <v>1134</v>
      </c>
      <c r="N304" s="2">
        <v>52</v>
      </c>
      <c r="O304" s="2">
        <f>BaseDeDatos!$M304*BaseDeDatos!$N304</f>
        <v>58968</v>
      </c>
    </row>
    <row r="305" spans="2:15">
      <c r="B305">
        <v>303</v>
      </c>
      <c r="C305" s="1">
        <v>44078</v>
      </c>
      <c r="D305">
        <v>677992170</v>
      </c>
      <c r="E305" t="s">
        <v>14</v>
      </c>
      <c r="F305" t="s">
        <v>81</v>
      </c>
      <c r="G305" t="s">
        <v>94</v>
      </c>
      <c r="H305" t="s">
        <v>15</v>
      </c>
      <c r="I305" t="s">
        <v>16</v>
      </c>
      <c r="J305" t="s">
        <v>17</v>
      </c>
      <c r="K305" t="s">
        <v>71</v>
      </c>
      <c r="L305" t="s">
        <v>72</v>
      </c>
      <c r="M305" s="2">
        <v>98</v>
      </c>
      <c r="N305" s="2">
        <v>37</v>
      </c>
      <c r="O305" s="2">
        <f>BaseDeDatos!$M305*BaseDeDatos!$N305</f>
        <v>3626</v>
      </c>
    </row>
    <row r="306" spans="2:15">
      <c r="B306">
        <v>304</v>
      </c>
      <c r="C306" s="1">
        <v>44063</v>
      </c>
      <c r="D306">
        <v>3501827064</v>
      </c>
      <c r="E306" t="s">
        <v>23</v>
      </c>
      <c r="F306" t="s">
        <v>86</v>
      </c>
      <c r="G306" t="s">
        <v>82</v>
      </c>
      <c r="H306" t="s">
        <v>24</v>
      </c>
      <c r="I306" t="s">
        <v>25</v>
      </c>
      <c r="J306" t="s">
        <v>17</v>
      </c>
      <c r="K306" t="s">
        <v>58</v>
      </c>
      <c r="L306" t="s">
        <v>59</v>
      </c>
      <c r="M306" s="2">
        <v>487.19999999999993</v>
      </c>
      <c r="N306" s="2">
        <v>24</v>
      </c>
      <c r="O306" s="2">
        <f>BaseDeDatos!$M306*BaseDeDatos!$N306</f>
        <v>11692.8</v>
      </c>
    </row>
    <row r="307" spans="2:15">
      <c r="B307">
        <v>305</v>
      </c>
      <c r="C307" s="1">
        <v>43979</v>
      </c>
      <c r="D307">
        <v>9140892367</v>
      </c>
      <c r="E307" t="s">
        <v>32</v>
      </c>
      <c r="F307" t="s">
        <v>93</v>
      </c>
      <c r="G307" t="s">
        <v>96</v>
      </c>
      <c r="H307" t="s">
        <v>7</v>
      </c>
      <c r="I307" t="s">
        <v>8</v>
      </c>
      <c r="J307" t="s">
        <v>33</v>
      </c>
      <c r="K307" t="s">
        <v>60</v>
      </c>
      <c r="L307" t="s">
        <v>49</v>
      </c>
      <c r="M307" s="2">
        <v>140</v>
      </c>
      <c r="N307" s="2">
        <v>36</v>
      </c>
      <c r="O307" s="2">
        <f>BaseDeDatos!$M307*BaseDeDatos!$N307</f>
        <v>5040</v>
      </c>
    </row>
    <row r="308" spans="2:15">
      <c r="B308">
        <v>306</v>
      </c>
      <c r="C308" s="1">
        <v>44037</v>
      </c>
      <c r="D308">
        <v>7570396760</v>
      </c>
      <c r="E308" t="s">
        <v>32</v>
      </c>
      <c r="F308" t="s">
        <v>93</v>
      </c>
      <c r="G308" t="s">
        <v>96</v>
      </c>
      <c r="H308" t="s">
        <v>7</v>
      </c>
      <c r="I308" t="s">
        <v>8</v>
      </c>
      <c r="J308" t="s">
        <v>33</v>
      </c>
      <c r="K308" t="s">
        <v>38</v>
      </c>
      <c r="L308" t="s">
        <v>39</v>
      </c>
      <c r="M308" s="2">
        <v>560</v>
      </c>
      <c r="N308" s="2">
        <v>24</v>
      </c>
      <c r="O308" s="2">
        <f>BaseDeDatos!$M308*BaseDeDatos!$N308</f>
        <v>13440</v>
      </c>
    </row>
    <row r="309" spans="2:15">
      <c r="B309">
        <v>307</v>
      </c>
      <c r="C309" s="1">
        <v>44085</v>
      </c>
      <c r="D309">
        <v>5368769086</v>
      </c>
      <c r="E309" t="s">
        <v>42</v>
      </c>
      <c r="F309" t="s">
        <v>91</v>
      </c>
      <c r="G309" t="s">
        <v>91</v>
      </c>
      <c r="H309" t="s">
        <v>43</v>
      </c>
      <c r="I309" t="s">
        <v>8</v>
      </c>
      <c r="J309" t="s">
        <v>17</v>
      </c>
      <c r="K309" t="s">
        <v>61</v>
      </c>
      <c r="L309" t="s">
        <v>13</v>
      </c>
      <c r="M309" s="2">
        <v>140</v>
      </c>
      <c r="N309" s="2">
        <v>20</v>
      </c>
      <c r="O309" s="2">
        <f>BaseDeDatos!$M309*BaseDeDatos!$N309</f>
        <v>2800</v>
      </c>
    </row>
    <row r="310" spans="2:15">
      <c r="B310">
        <v>308</v>
      </c>
      <c r="C310" s="1">
        <v>44162</v>
      </c>
      <c r="D310">
        <v>443042127</v>
      </c>
      <c r="E310" t="s">
        <v>42</v>
      </c>
      <c r="F310" t="s">
        <v>91</v>
      </c>
      <c r="G310" t="s">
        <v>91</v>
      </c>
      <c r="H310" t="s">
        <v>43</v>
      </c>
      <c r="I310" t="s">
        <v>16</v>
      </c>
      <c r="K310" t="s">
        <v>12</v>
      </c>
      <c r="L310" t="s">
        <v>13</v>
      </c>
      <c r="M310" s="2">
        <v>49</v>
      </c>
      <c r="N310" s="2">
        <v>11</v>
      </c>
      <c r="O310" s="2">
        <f>BaseDeDatos!$M310*BaseDeDatos!$N310</f>
        <v>539</v>
      </c>
    </row>
    <row r="311" spans="2:15">
      <c r="B311">
        <v>309</v>
      </c>
      <c r="C311" s="1">
        <v>43840</v>
      </c>
      <c r="D311">
        <v>3198859022</v>
      </c>
      <c r="E311" t="s">
        <v>50</v>
      </c>
      <c r="F311" t="s">
        <v>85</v>
      </c>
      <c r="G311" t="s">
        <v>83</v>
      </c>
      <c r="H311" t="s">
        <v>41</v>
      </c>
      <c r="I311" t="s">
        <v>25</v>
      </c>
      <c r="K311" t="s">
        <v>38</v>
      </c>
      <c r="L311" t="s">
        <v>39</v>
      </c>
      <c r="M311" s="2">
        <v>560</v>
      </c>
      <c r="N311" s="2">
        <v>78</v>
      </c>
      <c r="O311" s="2">
        <f>BaseDeDatos!$M311*BaseDeDatos!$N311</f>
        <v>43680</v>
      </c>
    </row>
    <row r="312" spans="2:15">
      <c r="B312">
        <v>310</v>
      </c>
      <c r="C312" s="1">
        <v>44043</v>
      </c>
      <c r="D312">
        <v>2982674072</v>
      </c>
      <c r="E312" t="s">
        <v>51</v>
      </c>
      <c r="F312" t="s">
        <v>90</v>
      </c>
      <c r="G312" t="s">
        <v>98</v>
      </c>
      <c r="H312" t="s">
        <v>24</v>
      </c>
      <c r="I312" t="s">
        <v>25</v>
      </c>
      <c r="K312" t="s">
        <v>52</v>
      </c>
      <c r="L312" t="s">
        <v>53</v>
      </c>
      <c r="M312" s="2">
        <v>257.59999999999997</v>
      </c>
      <c r="N312" s="2">
        <v>76</v>
      </c>
      <c r="O312" s="2">
        <f>BaseDeDatos!$M312*BaseDeDatos!$N312</f>
        <v>19577.599999999999</v>
      </c>
    </row>
    <row r="313" spans="2:15">
      <c r="B313">
        <v>311</v>
      </c>
      <c r="C313" s="1">
        <v>44118</v>
      </c>
      <c r="D313">
        <v>1636086310</v>
      </c>
      <c r="E313" t="s">
        <v>40</v>
      </c>
      <c r="F313" t="s">
        <v>97</v>
      </c>
      <c r="G313" t="s">
        <v>88</v>
      </c>
      <c r="H313" t="s">
        <v>41</v>
      </c>
      <c r="I313" t="s">
        <v>25</v>
      </c>
      <c r="J313" t="s">
        <v>17</v>
      </c>
      <c r="K313" t="s">
        <v>22</v>
      </c>
      <c r="L313" t="s">
        <v>11</v>
      </c>
      <c r="M313" s="2">
        <v>644</v>
      </c>
      <c r="N313" s="2">
        <v>57</v>
      </c>
      <c r="O313" s="2">
        <f>BaseDeDatos!$M313*BaseDeDatos!$N313</f>
        <v>36708</v>
      </c>
    </row>
    <row r="314" spans="2:15">
      <c r="B314">
        <v>312</v>
      </c>
      <c r="C314" s="1">
        <v>44069</v>
      </c>
      <c r="D314">
        <v>9879315200</v>
      </c>
      <c r="E314" t="s">
        <v>54</v>
      </c>
      <c r="F314" t="s">
        <v>89</v>
      </c>
      <c r="G314" t="s">
        <v>84</v>
      </c>
      <c r="H314" t="s">
        <v>55</v>
      </c>
      <c r="I314" t="s">
        <v>16</v>
      </c>
      <c r="J314" t="s">
        <v>9</v>
      </c>
      <c r="K314" t="s">
        <v>34</v>
      </c>
      <c r="L314" t="s">
        <v>35</v>
      </c>
      <c r="M314" s="2">
        <v>135.1</v>
      </c>
      <c r="N314" s="2">
        <v>14</v>
      </c>
      <c r="O314" s="2">
        <f>BaseDeDatos!$M314*BaseDeDatos!$N314</f>
        <v>1891.3999999999999</v>
      </c>
    </row>
    <row r="315" spans="2:15">
      <c r="B315">
        <v>313</v>
      </c>
      <c r="C315" s="1">
        <v>43953</v>
      </c>
      <c r="D315">
        <v>3833780472</v>
      </c>
      <c r="E315" t="s">
        <v>6</v>
      </c>
      <c r="F315" t="s">
        <v>80</v>
      </c>
      <c r="G315" t="s">
        <v>95</v>
      </c>
      <c r="H315" t="s">
        <v>7</v>
      </c>
      <c r="I315" t="s">
        <v>8</v>
      </c>
      <c r="J315" t="s">
        <v>9</v>
      </c>
      <c r="K315" t="s">
        <v>10</v>
      </c>
      <c r="L315" t="s">
        <v>11</v>
      </c>
      <c r="M315" s="2">
        <v>196</v>
      </c>
      <c r="N315" s="2">
        <v>14</v>
      </c>
      <c r="O315" s="2">
        <f>BaseDeDatos!$M315*BaseDeDatos!$N315</f>
        <v>2744</v>
      </c>
    </row>
    <row r="316" spans="2:15">
      <c r="B316">
        <v>314</v>
      </c>
      <c r="C316" s="1">
        <v>44161</v>
      </c>
      <c r="D316">
        <v>1343389818</v>
      </c>
      <c r="E316" t="s">
        <v>6</v>
      </c>
      <c r="F316" t="s">
        <v>80</v>
      </c>
      <c r="G316" t="s">
        <v>95</v>
      </c>
      <c r="H316" t="s">
        <v>7</v>
      </c>
      <c r="I316" t="s">
        <v>8</v>
      </c>
      <c r="J316" t="s">
        <v>9</v>
      </c>
      <c r="K316" t="s">
        <v>12</v>
      </c>
      <c r="L316" t="s">
        <v>13</v>
      </c>
      <c r="M316" s="2">
        <v>49</v>
      </c>
      <c r="N316" s="2">
        <v>70</v>
      </c>
      <c r="O316" s="2">
        <f>BaseDeDatos!$M316*BaseDeDatos!$N316</f>
        <v>3430</v>
      </c>
    </row>
    <row r="317" spans="2:15">
      <c r="B317">
        <v>315</v>
      </c>
      <c r="C317" s="1">
        <v>43897</v>
      </c>
      <c r="D317">
        <v>3066920858</v>
      </c>
      <c r="E317" t="s">
        <v>14</v>
      </c>
      <c r="F317" t="s">
        <v>81</v>
      </c>
      <c r="G317" t="s">
        <v>94</v>
      </c>
      <c r="H317" t="s">
        <v>15</v>
      </c>
      <c r="I317" t="s">
        <v>16</v>
      </c>
      <c r="J317" t="s">
        <v>17</v>
      </c>
      <c r="K317" t="s">
        <v>18</v>
      </c>
      <c r="L317" t="s">
        <v>13</v>
      </c>
      <c r="M317" s="2">
        <v>420</v>
      </c>
      <c r="N317" s="2">
        <v>100</v>
      </c>
      <c r="O317" s="2">
        <f>BaseDeDatos!$M317*BaseDeDatos!$N317</f>
        <v>42000</v>
      </c>
    </row>
    <row r="318" spans="2:15">
      <c r="B318">
        <v>316</v>
      </c>
      <c r="C318" s="1">
        <v>44075</v>
      </c>
      <c r="D318">
        <v>3596038071</v>
      </c>
      <c r="E318" t="s">
        <v>14</v>
      </c>
      <c r="F318" t="s">
        <v>81</v>
      </c>
      <c r="G318" t="s">
        <v>94</v>
      </c>
      <c r="H318" t="s">
        <v>15</v>
      </c>
      <c r="I318" t="s">
        <v>16</v>
      </c>
      <c r="J318" t="s">
        <v>17</v>
      </c>
      <c r="K318" t="s">
        <v>19</v>
      </c>
      <c r="L318" t="s">
        <v>13</v>
      </c>
      <c r="M318" s="2">
        <v>742</v>
      </c>
      <c r="N318" s="2">
        <v>27</v>
      </c>
      <c r="O318" s="2">
        <f>BaseDeDatos!$M318*BaseDeDatos!$N318</f>
        <v>20034</v>
      </c>
    </row>
    <row r="319" spans="2:15">
      <c r="B319">
        <v>317</v>
      </c>
      <c r="C319" s="1">
        <v>44055</v>
      </c>
      <c r="D319">
        <v>8280434895</v>
      </c>
      <c r="E319" t="s">
        <v>14</v>
      </c>
      <c r="F319" t="s">
        <v>81</v>
      </c>
      <c r="G319" t="s">
        <v>94</v>
      </c>
      <c r="H319" t="s">
        <v>15</v>
      </c>
      <c r="I319" t="s">
        <v>16</v>
      </c>
      <c r="J319" t="s">
        <v>17</v>
      </c>
      <c r="K319" t="s">
        <v>12</v>
      </c>
      <c r="L319" t="s">
        <v>13</v>
      </c>
      <c r="M319" s="2">
        <v>49</v>
      </c>
      <c r="N319" s="2">
        <v>70</v>
      </c>
      <c r="O319" s="2">
        <f>BaseDeDatos!$M319*BaseDeDatos!$N319</f>
        <v>3430</v>
      </c>
    </row>
    <row r="320" spans="2:15">
      <c r="B320">
        <v>318</v>
      </c>
      <c r="C320" s="1">
        <v>44146</v>
      </c>
      <c r="D320">
        <v>7983505639</v>
      </c>
      <c r="E320" t="s">
        <v>20</v>
      </c>
      <c r="F320" t="s">
        <v>80</v>
      </c>
      <c r="G320" t="s">
        <v>95</v>
      </c>
      <c r="H320" t="s">
        <v>7</v>
      </c>
      <c r="I320" t="s">
        <v>8</v>
      </c>
      <c r="J320" t="s">
        <v>17</v>
      </c>
      <c r="K320" t="s">
        <v>21</v>
      </c>
      <c r="L320" t="s">
        <v>11</v>
      </c>
      <c r="M320" s="2">
        <v>252</v>
      </c>
      <c r="N320" s="2">
        <v>57</v>
      </c>
      <c r="O320" s="2">
        <f>BaseDeDatos!$M320*BaseDeDatos!$N320</f>
        <v>14364</v>
      </c>
    </row>
    <row r="321" spans="2:15">
      <c r="B321">
        <v>319</v>
      </c>
      <c r="C321" s="1">
        <v>43997</v>
      </c>
      <c r="D321">
        <v>4943792001</v>
      </c>
      <c r="E321" t="s">
        <v>20</v>
      </c>
      <c r="F321" t="s">
        <v>80</v>
      </c>
      <c r="G321" t="s">
        <v>95</v>
      </c>
      <c r="H321" t="s">
        <v>7</v>
      </c>
      <c r="I321" t="s">
        <v>8</v>
      </c>
      <c r="J321" t="s">
        <v>17</v>
      </c>
      <c r="K321" t="s">
        <v>22</v>
      </c>
      <c r="L321" t="s">
        <v>11</v>
      </c>
      <c r="M321" s="2">
        <v>644</v>
      </c>
      <c r="N321" s="2">
        <v>83</v>
      </c>
      <c r="O321" s="2">
        <f>BaseDeDatos!$M321*BaseDeDatos!$N321</f>
        <v>53452</v>
      </c>
    </row>
    <row r="322" spans="2:15">
      <c r="B322">
        <v>320</v>
      </c>
      <c r="C322" s="1">
        <v>43857</v>
      </c>
      <c r="D322">
        <v>2679766092</v>
      </c>
      <c r="E322" t="s">
        <v>23</v>
      </c>
      <c r="F322" t="s">
        <v>86</v>
      </c>
      <c r="G322" t="s">
        <v>82</v>
      </c>
      <c r="H322" t="s">
        <v>24</v>
      </c>
      <c r="I322" t="s">
        <v>25</v>
      </c>
      <c r="J322" t="s">
        <v>17</v>
      </c>
      <c r="K322" t="s">
        <v>26</v>
      </c>
      <c r="L322" t="s">
        <v>27</v>
      </c>
      <c r="M322" s="2">
        <v>128.79999999999998</v>
      </c>
      <c r="N322" s="2">
        <v>76</v>
      </c>
      <c r="O322" s="2">
        <f>BaseDeDatos!$M322*BaseDeDatos!$N322</f>
        <v>9788.7999999999993</v>
      </c>
    </row>
    <row r="323" spans="2:15">
      <c r="B323">
        <v>321</v>
      </c>
      <c r="C323" s="1">
        <v>44155</v>
      </c>
      <c r="D323">
        <v>6256032641</v>
      </c>
      <c r="E323" t="s">
        <v>14</v>
      </c>
      <c r="F323" t="s">
        <v>81</v>
      </c>
      <c r="G323" t="s">
        <v>94</v>
      </c>
      <c r="H323" t="s">
        <v>15</v>
      </c>
      <c r="I323" t="s">
        <v>25</v>
      </c>
      <c r="J323" t="s">
        <v>9</v>
      </c>
      <c r="K323" t="s">
        <v>26</v>
      </c>
      <c r="L323" t="s">
        <v>27</v>
      </c>
      <c r="M323" s="2">
        <v>128.79999999999998</v>
      </c>
      <c r="N323" s="2">
        <v>80</v>
      </c>
      <c r="O323" s="2">
        <f>BaseDeDatos!$M323*BaseDeDatos!$N323</f>
        <v>10303.999999999998</v>
      </c>
    </row>
    <row r="324" spans="2:15">
      <c r="B324">
        <v>322</v>
      </c>
      <c r="C324" s="1">
        <v>43867</v>
      </c>
      <c r="D324">
        <v>8317306577</v>
      </c>
      <c r="E324" t="s">
        <v>28</v>
      </c>
      <c r="F324" t="s">
        <v>89</v>
      </c>
      <c r="G324" t="s">
        <v>84</v>
      </c>
      <c r="H324" t="s">
        <v>29</v>
      </c>
      <c r="I324" t="s">
        <v>8</v>
      </c>
      <c r="J324" t="s">
        <v>9</v>
      </c>
      <c r="K324" t="s">
        <v>30</v>
      </c>
      <c r="L324" t="s">
        <v>31</v>
      </c>
      <c r="M324" s="2">
        <v>178.5</v>
      </c>
      <c r="N324" s="2">
        <v>47</v>
      </c>
      <c r="O324" s="2">
        <f>BaseDeDatos!$M324*BaseDeDatos!$N324</f>
        <v>8389.5</v>
      </c>
    </row>
    <row r="325" spans="2:15">
      <c r="B325">
        <v>323</v>
      </c>
      <c r="C325" s="1">
        <v>44120</v>
      </c>
      <c r="D325">
        <v>4952054948</v>
      </c>
      <c r="E325" t="s">
        <v>32</v>
      </c>
      <c r="F325" t="s">
        <v>93</v>
      </c>
      <c r="G325" t="s">
        <v>96</v>
      </c>
      <c r="H325" t="s">
        <v>7</v>
      </c>
      <c r="I325" t="s">
        <v>8</v>
      </c>
      <c r="J325" t="s">
        <v>33</v>
      </c>
      <c r="K325" t="s">
        <v>34</v>
      </c>
      <c r="L325" t="s">
        <v>35</v>
      </c>
      <c r="M325" s="2">
        <v>135.1</v>
      </c>
      <c r="N325" s="2">
        <v>96</v>
      </c>
      <c r="O325" s="2">
        <f>BaseDeDatos!$M325*BaseDeDatos!$N325</f>
        <v>12969.599999999999</v>
      </c>
    </row>
    <row r="326" spans="2:15">
      <c r="B326">
        <v>324</v>
      </c>
      <c r="C326" s="1">
        <v>44059</v>
      </c>
      <c r="D326">
        <v>7792270317</v>
      </c>
      <c r="E326" t="s">
        <v>36</v>
      </c>
      <c r="F326" t="s">
        <v>92</v>
      </c>
      <c r="G326" t="s">
        <v>99</v>
      </c>
      <c r="H326" t="s">
        <v>37</v>
      </c>
      <c r="I326" t="s">
        <v>8</v>
      </c>
      <c r="J326" t="s">
        <v>17</v>
      </c>
      <c r="K326" t="s">
        <v>38</v>
      </c>
      <c r="L326" t="s">
        <v>39</v>
      </c>
      <c r="M326" s="2">
        <v>560</v>
      </c>
      <c r="N326" s="2">
        <v>32</v>
      </c>
      <c r="O326" s="2">
        <f>BaseDeDatos!$M326*BaseDeDatos!$N326</f>
        <v>17920</v>
      </c>
    </row>
    <row r="327" spans="2:15">
      <c r="B327">
        <v>325</v>
      </c>
      <c r="C327" s="1">
        <v>44045</v>
      </c>
      <c r="D327">
        <v>8753687299</v>
      </c>
      <c r="E327" t="s">
        <v>40</v>
      </c>
      <c r="F327" t="s">
        <v>97</v>
      </c>
      <c r="G327" t="s">
        <v>88</v>
      </c>
      <c r="H327" t="s">
        <v>41</v>
      </c>
      <c r="I327" t="s">
        <v>25</v>
      </c>
      <c r="J327" t="s">
        <v>9</v>
      </c>
      <c r="K327" t="s">
        <v>22</v>
      </c>
      <c r="L327" t="s">
        <v>11</v>
      </c>
      <c r="M327" s="2">
        <v>644</v>
      </c>
      <c r="N327" s="2">
        <v>16</v>
      </c>
      <c r="O327" s="2">
        <f>BaseDeDatos!$M327*BaseDeDatos!$N327</f>
        <v>10304</v>
      </c>
    </row>
    <row r="328" spans="2:15">
      <c r="B328">
        <v>326</v>
      </c>
      <c r="C328" s="1">
        <v>43867</v>
      </c>
      <c r="D328">
        <v>3276376437</v>
      </c>
      <c r="E328" t="s">
        <v>23</v>
      </c>
      <c r="F328" t="s">
        <v>86</v>
      </c>
      <c r="G328" t="s">
        <v>82</v>
      </c>
      <c r="H328" t="s">
        <v>24</v>
      </c>
      <c r="I328" t="s">
        <v>25</v>
      </c>
      <c r="J328" t="s">
        <v>9</v>
      </c>
      <c r="K328" t="s">
        <v>30</v>
      </c>
      <c r="L328" t="s">
        <v>31</v>
      </c>
      <c r="M328" s="2">
        <v>178.5</v>
      </c>
      <c r="N328" s="2">
        <v>41</v>
      </c>
      <c r="O328" s="2">
        <f>BaseDeDatos!$M328*BaseDeDatos!$N328</f>
        <v>7318.5</v>
      </c>
    </row>
    <row r="329" spans="2:15">
      <c r="B329">
        <v>327</v>
      </c>
      <c r="C329" s="1">
        <v>44087</v>
      </c>
      <c r="D329">
        <v>6189400875</v>
      </c>
      <c r="E329" t="s">
        <v>42</v>
      </c>
      <c r="F329" t="s">
        <v>91</v>
      </c>
      <c r="G329" t="s">
        <v>91</v>
      </c>
      <c r="H329" t="s">
        <v>43</v>
      </c>
      <c r="I329" t="s">
        <v>8</v>
      </c>
      <c r="J329" t="s">
        <v>17</v>
      </c>
      <c r="K329" t="s">
        <v>44</v>
      </c>
      <c r="L329" t="s">
        <v>11</v>
      </c>
      <c r="M329" s="2">
        <v>41.86</v>
      </c>
      <c r="N329" s="2">
        <v>41</v>
      </c>
      <c r="O329" s="2">
        <f>BaseDeDatos!$M329*BaseDeDatos!$N329</f>
        <v>1716.26</v>
      </c>
    </row>
    <row r="330" spans="2:15">
      <c r="B330">
        <v>328</v>
      </c>
      <c r="C330" s="1">
        <v>43927</v>
      </c>
      <c r="D330">
        <v>3440571177</v>
      </c>
      <c r="E330" t="s">
        <v>45</v>
      </c>
      <c r="F330" t="s">
        <v>87</v>
      </c>
      <c r="G330" t="s">
        <v>87</v>
      </c>
      <c r="H330" t="s">
        <v>24</v>
      </c>
      <c r="K330" t="s">
        <v>22</v>
      </c>
      <c r="L330" t="s">
        <v>11</v>
      </c>
      <c r="M330" s="2">
        <v>644</v>
      </c>
      <c r="N330" s="2">
        <v>41</v>
      </c>
      <c r="O330" s="2">
        <f>BaseDeDatos!$M330*BaseDeDatos!$N330</f>
        <v>26404</v>
      </c>
    </row>
    <row r="331" spans="2:15">
      <c r="B331">
        <v>329</v>
      </c>
      <c r="C331" s="1">
        <v>43975</v>
      </c>
      <c r="D331">
        <v>8874798513</v>
      </c>
      <c r="E331" t="s">
        <v>42</v>
      </c>
      <c r="F331" t="s">
        <v>91</v>
      </c>
      <c r="G331" t="s">
        <v>91</v>
      </c>
      <c r="H331" t="s">
        <v>43</v>
      </c>
      <c r="I331" t="s">
        <v>16</v>
      </c>
      <c r="K331" t="s">
        <v>46</v>
      </c>
      <c r="L331" t="s">
        <v>47</v>
      </c>
      <c r="M331" s="2">
        <v>350</v>
      </c>
      <c r="N331" s="2">
        <v>94</v>
      </c>
      <c r="O331" s="2">
        <f>BaseDeDatos!$M331*BaseDeDatos!$N331</f>
        <v>32900</v>
      </c>
    </row>
    <row r="332" spans="2:15">
      <c r="B332">
        <v>330</v>
      </c>
      <c r="C332" s="1">
        <v>43992</v>
      </c>
      <c r="D332">
        <v>9730368433</v>
      </c>
      <c r="E332" t="s">
        <v>42</v>
      </c>
      <c r="F332" t="s">
        <v>91</v>
      </c>
      <c r="G332" t="s">
        <v>91</v>
      </c>
      <c r="H332" t="s">
        <v>43</v>
      </c>
      <c r="I332" t="s">
        <v>16</v>
      </c>
      <c r="K332" t="s">
        <v>48</v>
      </c>
      <c r="L332" t="s">
        <v>49</v>
      </c>
      <c r="M332" s="2">
        <v>308</v>
      </c>
      <c r="N332" s="2">
        <v>20</v>
      </c>
      <c r="O332" s="2">
        <f>BaseDeDatos!$M332*BaseDeDatos!$N332</f>
        <v>6160</v>
      </c>
    </row>
    <row r="333" spans="2:15">
      <c r="B333">
        <v>331</v>
      </c>
      <c r="C333" s="1">
        <v>43870</v>
      </c>
      <c r="D333">
        <v>6592275352</v>
      </c>
      <c r="E333" t="s">
        <v>42</v>
      </c>
      <c r="F333" t="s">
        <v>91</v>
      </c>
      <c r="G333" t="s">
        <v>91</v>
      </c>
      <c r="H333" t="s">
        <v>43</v>
      </c>
      <c r="I333" t="s">
        <v>16</v>
      </c>
      <c r="K333" t="s">
        <v>26</v>
      </c>
      <c r="L333" t="s">
        <v>27</v>
      </c>
      <c r="M333" s="2">
        <v>128.79999999999998</v>
      </c>
      <c r="N333" s="2">
        <v>13</v>
      </c>
      <c r="O333" s="2">
        <f>BaseDeDatos!$M333*BaseDeDatos!$N333</f>
        <v>1674.3999999999999</v>
      </c>
    </row>
    <row r="334" spans="2:15">
      <c r="B334">
        <v>332</v>
      </c>
      <c r="C334" s="1">
        <v>43882</v>
      </c>
      <c r="D334">
        <v>9303282439</v>
      </c>
      <c r="E334" t="s">
        <v>50</v>
      </c>
      <c r="F334" t="s">
        <v>85</v>
      </c>
      <c r="G334" t="s">
        <v>83</v>
      </c>
      <c r="H334" t="s">
        <v>41</v>
      </c>
      <c r="I334" t="s">
        <v>25</v>
      </c>
      <c r="K334" t="s">
        <v>12</v>
      </c>
      <c r="L334" t="s">
        <v>13</v>
      </c>
      <c r="M334" s="2">
        <v>49</v>
      </c>
      <c r="N334" s="2">
        <v>74</v>
      </c>
      <c r="O334" s="2">
        <f>BaseDeDatos!$M334*BaseDeDatos!$N334</f>
        <v>3626</v>
      </c>
    </row>
    <row r="335" spans="2:15">
      <c r="B335">
        <v>333</v>
      </c>
      <c r="C335" s="1">
        <v>43940</v>
      </c>
      <c r="D335">
        <v>8998167680</v>
      </c>
      <c r="E335" t="s">
        <v>50</v>
      </c>
      <c r="F335" t="s">
        <v>85</v>
      </c>
      <c r="G335" t="s">
        <v>83</v>
      </c>
      <c r="H335" t="s">
        <v>41</v>
      </c>
      <c r="I335" t="s">
        <v>25</v>
      </c>
      <c r="K335" t="s">
        <v>44</v>
      </c>
      <c r="L335" t="s">
        <v>11</v>
      </c>
      <c r="M335" s="2">
        <v>41.86</v>
      </c>
      <c r="N335" s="2">
        <v>53</v>
      </c>
      <c r="O335" s="2">
        <f>BaseDeDatos!$M335*BaseDeDatos!$N335</f>
        <v>2218.58</v>
      </c>
    </row>
    <row r="336" spans="2:15">
      <c r="B336">
        <v>334</v>
      </c>
      <c r="C336" s="1">
        <v>43874</v>
      </c>
      <c r="D336">
        <v>2058395697</v>
      </c>
      <c r="E336" t="s">
        <v>51</v>
      </c>
      <c r="F336" t="s">
        <v>90</v>
      </c>
      <c r="G336" t="s">
        <v>98</v>
      </c>
      <c r="H336" t="s">
        <v>24</v>
      </c>
      <c r="K336" t="s">
        <v>21</v>
      </c>
      <c r="L336" t="s">
        <v>11</v>
      </c>
      <c r="M336" s="2">
        <v>252</v>
      </c>
      <c r="N336" s="2">
        <v>99</v>
      </c>
      <c r="O336" s="2">
        <f>BaseDeDatos!$M336*BaseDeDatos!$N336</f>
        <v>24948</v>
      </c>
    </row>
    <row r="337" spans="2:15">
      <c r="B337">
        <v>335</v>
      </c>
      <c r="C337" s="1">
        <v>43832</v>
      </c>
      <c r="D337">
        <v>5534305664</v>
      </c>
      <c r="E337" t="s">
        <v>51</v>
      </c>
      <c r="F337" t="s">
        <v>90</v>
      </c>
      <c r="G337" t="s">
        <v>98</v>
      </c>
      <c r="H337" t="s">
        <v>24</v>
      </c>
      <c r="K337" t="s">
        <v>22</v>
      </c>
      <c r="L337" t="s">
        <v>11</v>
      </c>
      <c r="M337" s="2">
        <v>644</v>
      </c>
      <c r="N337" s="2">
        <v>89</v>
      </c>
      <c r="O337" s="2">
        <f>BaseDeDatos!$M337*BaseDeDatos!$N337</f>
        <v>57316</v>
      </c>
    </row>
    <row r="338" spans="2:15">
      <c r="B338">
        <v>336</v>
      </c>
      <c r="C338" s="1">
        <v>43988</v>
      </c>
      <c r="D338">
        <v>5417309832</v>
      </c>
      <c r="E338" t="s">
        <v>51</v>
      </c>
      <c r="F338" t="s">
        <v>90</v>
      </c>
      <c r="G338" t="s">
        <v>98</v>
      </c>
      <c r="H338" t="s">
        <v>24</v>
      </c>
      <c r="K338" t="s">
        <v>44</v>
      </c>
      <c r="L338" t="s">
        <v>11</v>
      </c>
      <c r="M338" s="2">
        <v>41.86</v>
      </c>
      <c r="N338" s="2">
        <v>64</v>
      </c>
      <c r="O338" s="2">
        <f>BaseDeDatos!$M338*BaseDeDatos!$N338</f>
        <v>2679.04</v>
      </c>
    </row>
    <row r="339" spans="2:15">
      <c r="B339">
        <v>337</v>
      </c>
      <c r="C339" s="1">
        <v>44101</v>
      </c>
      <c r="D339">
        <v>7626114952</v>
      </c>
      <c r="E339" t="s">
        <v>40</v>
      </c>
      <c r="F339" t="s">
        <v>97</v>
      </c>
      <c r="G339" t="s">
        <v>88</v>
      </c>
      <c r="H339" t="s">
        <v>41</v>
      </c>
      <c r="I339" t="s">
        <v>25</v>
      </c>
      <c r="J339" t="s">
        <v>17</v>
      </c>
      <c r="K339" t="s">
        <v>34</v>
      </c>
      <c r="L339" t="s">
        <v>35</v>
      </c>
      <c r="M339" s="2">
        <v>135.1</v>
      </c>
      <c r="N339" s="2">
        <v>98</v>
      </c>
      <c r="O339" s="2">
        <f>BaseDeDatos!$M339*BaseDeDatos!$N339</f>
        <v>13239.8</v>
      </c>
    </row>
    <row r="340" spans="2:15">
      <c r="B340">
        <v>338</v>
      </c>
      <c r="C340" s="1">
        <v>43879</v>
      </c>
      <c r="D340">
        <v>7075151442</v>
      </c>
      <c r="E340" t="s">
        <v>40</v>
      </c>
      <c r="F340" t="s">
        <v>97</v>
      </c>
      <c r="G340" t="s">
        <v>88</v>
      </c>
      <c r="H340" t="s">
        <v>41</v>
      </c>
      <c r="I340" t="s">
        <v>25</v>
      </c>
      <c r="J340" t="s">
        <v>17</v>
      </c>
      <c r="K340" t="s">
        <v>52</v>
      </c>
      <c r="L340" t="s">
        <v>53</v>
      </c>
      <c r="M340" s="2">
        <v>257.59999999999997</v>
      </c>
      <c r="N340" s="2">
        <v>86</v>
      </c>
      <c r="O340" s="2">
        <f>BaseDeDatos!$M340*BaseDeDatos!$N340</f>
        <v>22153.599999999999</v>
      </c>
    </row>
    <row r="341" spans="2:15">
      <c r="B341">
        <v>339</v>
      </c>
      <c r="C341" s="1">
        <v>44167</v>
      </c>
      <c r="D341">
        <v>4170346813</v>
      </c>
      <c r="E341" t="s">
        <v>54</v>
      </c>
      <c r="F341" t="s">
        <v>89</v>
      </c>
      <c r="G341" t="s">
        <v>84</v>
      </c>
      <c r="H341" t="s">
        <v>55</v>
      </c>
      <c r="I341" t="s">
        <v>16</v>
      </c>
      <c r="J341" t="s">
        <v>9</v>
      </c>
      <c r="K341" t="s">
        <v>56</v>
      </c>
      <c r="L341" t="s">
        <v>57</v>
      </c>
      <c r="M341" s="2">
        <v>273</v>
      </c>
      <c r="N341" s="2">
        <v>20</v>
      </c>
      <c r="O341" s="2">
        <f>BaseDeDatos!$M341*BaseDeDatos!$N341</f>
        <v>5460</v>
      </c>
    </row>
    <row r="342" spans="2:15">
      <c r="B342">
        <v>340</v>
      </c>
      <c r="C342" s="1">
        <v>43982</v>
      </c>
      <c r="D342">
        <v>7181884746</v>
      </c>
      <c r="E342" t="s">
        <v>54</v>
      </c>
      <c r="F342" t="s">
        <v>89</v>
      </c>
      <c r="G342" t="s">
        <v>84</v>
      </c>
      <c r="H342" t="s">
        <v>55</v>
      </c>
      <c r="I342" t="s">
        <v>16</v>
      </c>
      <c r="J342" t="s">
        <v>9</v>
      </c>
      <c r="K342" t="s">
        <v>58</v>
      </c>
      <c r="L342" t="s">
        <v>59</v>
      </c>
      <c r="M342" s="2">
        <v>487.19999999999993</v>
      </c>
      <c r="N342" s="2">
        <v>69</v>
      </c>
      <c r="O342" s="2">
        <f>BaseDeDatos!$M342*BaseDeDatos!$N342</f>
        <v>33616.799999999996</v>
      </c>
    </row>
    <row r="343" spans="2:15">
      <c r="B343">
        <v>341</v>
      </c>
      <c r="C343" s="1">
        <v>44196</v>
      </c>
      <c r="D343">
        <v>654398232</v>
      </c>
      <c r="E343" t="s">
        <v>36</v>
      </c>
      <c r="F343" t="s">
        <v>92</v>
      </c>
      <c r="G343" t="s">
        <v>99</v>
      </c>
      <c r="H343" t="s">
        <v>37</v>
      </c>
      <c r="I343" t="s">
        <v>8</v>
      </c>
      <c r="J343" t="s">
        <v>17</v>
      </c>
      <c r="K343" t="s">
        <v>10</v>
      </c>
      <c r="L343" t="s">
        <v>11</v>
      </c>
      <c r="M343" s="2">
        <v>196</v>
      </c>
      <c r="N343" s="2">
        <v>68</v>
      </c>
      <c r="O343" s="2">
        <f>BaseDeDatos!$M343*BaseDeDatos!$N343</f>
        <v>13328</v>
      </c>
    </row>
    <row r="344" spans="2:15">
      <c r="B344">
        <v>342</v>
      </c>
      <c r="C344" s="1">
        <v>43891</v>
      </c>
      <c r="D344">
        <v>6559752885</v>
      </c>
      <c r="E344" t="s">
        <v>23</v>
      </c>
      <c r="F344" t="s">
        <v>86</v>
      </c>
      <c r="G344" t="s">
        <v>82</v>
      </c>
      <c r="H344" t="s">
        <v>24</v>
      </c>
      <c r="I344" t="s">
        <v>8</v>
      </c>
      <c r="J344" t="s">
        <v>9</v>
      </c>
      <c r="K344" t="s">
        <v>38</v>
      </c>
      <c r="L344" t="s">
        <v>39</v>
      </c>
      <c r="M344" s="2">
        <v>560</v>
      </c>
      <c r="N344" s="2">
        <v>52</v>
      </c>
      <c r="O344" s="2">
        <f>BaseDeDatos!$M344*BaseDeDatos!$N344</f>
        <v>29120</v>
      </c>
    </row>
    <row r="345" spans="2:15">
      <c r="B345">
        <v>343</v>
      </c>
      <c r="C345" s="1">
        <v>44023</v>
      </c>
      <c r="D345">
        <v>9428165637</v>
      </c>
      <c r="E345" t="s">
        <v>23</v>
      </c>
      <c r="F345" t="s">
        <v>86</v>
      </c>
      <c r="G345" t="s">
        <v>82</v>
      </c>
      <c r="H345" t="s">
        <v>24</v>
      </c>
      <c r="I345" t="s">
        <v>8</v>
      </c>
      <c r="J345" t="s">
        <v>9</v>
      </c>
      <c r="K345" t="s">
        <v>26</v>
      </c>
      <c r="L345" t="s">
        <v>27</v>
      </c>
      <c r="M345" s="2">
        <v>128.79999999999998</v>
      </c>
      <c r="N345" s="2">
        <v>40</v>
      </c>
      <c r="O345" s="2">
        <f>BaseDeDatos!$M345*BaseDeDatos!$N345</f>
        <v>5151.9999999999991</v>
      </c>
    </row>
    <row r="346" spans="2:15">
      <c r="B346">
        <v>344</v>
      </c>
      <c r="C346" s="1">
        <v>43843</v>
      </c>
      <c r="D346">
        <v>9902612158</v>
      </c>
      <c r="E346" t="s">
        <v>62</v>
      </c>
      <c r="F346" t="s">
        <v>91</v>
      </c>
      <c r="G346" t="s">
        <v>91</v>
      </c>
      <c r="H346" t="s">
        <v>43</v>
      </c>
      <c r="I346" t="s">
        <v>16</v>
      </c>
      <c r="J346" t="s">
        <v>33</v>
      </c>
      <c r="K346" t="s">
        <v>67</v>
      </c>
      <c r="L346" t="s">
        <v>27</v>
      </c>
      <c r="M346" s="2">
        <v>140</v>
      </c>
      <c r="N346" s="2">
        <v>100</v>
      </c>
      <c r="O346" s="2">
        <f>BaseDeDatos!$M346*BaseDeDatos!$N346</f>
        <v>14000</v>
      </c>
    </row>
    <row r="347" spans="2:15">
      <c r="B347">
        <v>345</v>
      </c>
      <c r="C347" s="1">
        <v>44034</v>
      </c>
      <c r="D347">
        <v>9601886174</v>
      </c>
      <c r="E347" t="s">
        <v>63</v>
      </c>
      <c r="F347" t="s">
        <v>85</v>
      </c>
      <c r="G347" t="s">
        <v>83</v>
      </c>
      <c r="H347" t="s">
        <v>41</v>
      </c>
      <c r="I347" t="s">
        <v>25</v>
      </c>
      <c r="J347" t="s">
        <v>17</v>
      </c>
      <c r="K347" t="s">
        <v>68</v>
      </c>
      <c r="L347" t="s">
        <v>69</v>
      </c>
      <c r="M347" s="2">
        <v>298.90000000000003</v>
      </c>
      <c r="N347" s="2">
        <v>88</v>
      </c>
      <c r="O347" s="2">
        <f>BaseDeDatos!$M347*BaseDeDatos!$N347</f>
        <v>26303.200000000004</v>
      </c>
    </row>
    <row r="348" spans="2:15">
      <c r="B348">
        <v>346</v>
      </c>
      <c r="C348" s="1">
        <v>43958</v>
      </c>
      <c r="D348">
        <v>9194823962</v>
      </c>
      <c r="E348" t="s">
        <v>63</v>
      </c>
      <c r="F348" t="s">
        <v>85</v>
      </c>
      <c r="G348" t="s">
        <v>83</v>
      </c>
      <c r="H348" t="s">
        <v>41</v>
      </c>
      <c r="I348" t="s">
        <v>25</v>
      </c>
      <c r="J348" t="s">
        <v>17</v>
      </c>
      <c r="K348" t="s">
        <v>34</v>
      </c>
      <c r="L348" t="s">
        <v>35</v>
      </c>
      <c r="M348" s="2">
        <v>135.1</v>
      </c>
      <c r="N348" s="2">
        <v>46</v>
      </c>
      <c r="O348" s="2">
        <f>BaseDeDatos!$M348*BaseDeDatos!$N348</f>
        <v>6214.5999999999995</v>
      </c>
    </row>
    <row r="349" spans="2:15">
      <c r="B349">
        <v>347</v>
      </c>
      <c r="C349" s="1">
        <v>43832</v>
      </c>
      <c r="D349">
        <v>3580433044</v>
      </c>
      <c r="E349" t="s">
        <v>63</v>
      </c>
      <c r="F349" t="s">
        <v>85</v>
      </c>
      <c r="G349" t="s">
        <v>83</v>
      </c>
      <c r="H349" t="s">
        <v>41</v>
      </c>
      <c r="I349" t="s">
        <v>25</v>
      </c>
      <c r="J349" t="s">
        <v>17</v>
      </c>
      <c r="K349" t="s">
        <v>52</v>
      </c>
      <c r="L349" t="s">
        <v>53</v>
      </c>
      <c r="M349" s="2">
        <v>257.59999999999997</v>
      </c>
      <c r="N349" s="2">
        <v>93</v>
      </c>
      <c r="O349" s="2">
        <f>BaseDeDatos!$M349*BaseDeDatos!$N349</f>
        <v>23956.799999999996</v>
      </c>
    </row>
    <row r="350" spans="2:15">
      <c r="B350">
        <v>348</v>
      </c>
      <c r="C350" s="1">
        <v>43959</v>
      </c>
      <c r="D350">
        <v>7020598503</v>
      </c>
      <c r="E350" t="s">
        <v>28</v>
      </c>
      <c r="F350" t="s">
        <v>89</v>
      </c>
      <c r="G350" t="s">
        <v>84</v>
      </c>
      <c r="H350" t="s">
        <v>29</v>
      </c>
      <c r="I350" t="s">
        <v>8</v>
      </c>
      <c r="J350" t="s">
        <v>9</v>
      </c>
      <c r="K350" t="s">
        <v>10</v>
      </c>
      <c r="L350" t="s">
        <v>11</v>
      </c>
      <c r="M350" s="2">
        <v>196</v>
      </c>
      <c r="N350" s="2">
        <v>96</v>
      </c>
      <c r="O350" s="2">
        <f>BaseDeDatos!$M350*BaseDeDatos!$N350</f>
        <v>18816</v>
      </c>
    </row>
    <row r="351" spans="2:15">
      <c r="B351">
        <v>349</v>
      </c>
      <c r="C351" s="1">
        <v>44101</v>
      </c>
      <c r="D351">
        <v>8040421717</v>
      </c>
      <c r="E351" t="s">
        <v>36</v>
      </c>
      <c r="F351" t="s">
        <v>92</v>
      </c>
      <c r="G351" t="s">
        <v>99</v>
      </c>
      <c r="H351" t="s">
        <v>37</v>
      </c>
      <c r="I351" t="s">
        <v>25</v>
      </c>
      <c r="J351" t="s">
        <v>9</v>
      </c>
      <c r="K351" t="s">
        <v>30</v>
      </c>
      <c r="L351" t="s">
        <v>31</v>
      </c>
      <c r="M351" s="2">
        <v>178.5</v>
      </c>
      <c r="N351" s="2">
        <v>12</v>
      </c>
      <c r="O351" s="2">
        <f>BaseDeDatos!$M351*BaseDeDatos!$N351</f>
        <v>2142</v>
      </c>
    </row>
    <row r="352" spans="2:15">
      <c r="B352">
        <v>350</v>
      </c>
      <c r="C352" s="1">
        <v>43958</v>
      </c>
      <c r="D352">
        <v>3654530055</v>
      </c>
      <c r="E352" t="s">
        <v>14</v>
      </c>
      <c r="F352" t="s">
        <v>81</v>
      </c>
      <c r="G352" t="s">
        <v>94</v>
      </c>
      <c r="H352" t="s">
        <v>15</v>
      </c>
      <c r="I352" t="s">
        <v>16</v>
      </c>
      <c r="J352" t="s">
        <v>17</v>
      </c>
      <c r="K352" t="s">
        <v>70</v>
      </c>
      <c r="L352" t="s">
        <v>47</v>
      </c>
      <c r="M352" s="2">
        <v>1134</v>
      </c>
      <c r="N352" s="2">
        <v>38</v>
      </c>
      <c r="O352" s="2">
        <f>BaseDeDatos!$M352*BaseDeDatos!$N352</f>
        <v>43092</v>
      </c>
    </row>
    <row r="353" spans="2:15">
      <c r="B353">
        <v>351</v>
      </c>
      <c r="C353" s="1">
        <v>43884</v>
      </c>
      <c r="D353">
        <v>2061527783</v>
      </c>
      <c r="E353" t="s">
        <v>14</v>
      </c>
      <c r="F353" t="s">
        <v>81</v>
      </c>
      <c r="G353" t="s">
        <v>94</v>
      </c>
      <c r="H353" t="s">
        <v>15</v>
      </c>
      <c r="I353" t="s">
        <v>16</v>
      </c>
      <c r="J353" t="s">
        <v>17</v>
      </c>
      <c r="K353" t="s">
        <v>71</v>
      </c>
      <c r="L353" t="s">
        <v>72</v>
      </c>
      <c r="M353" s="2">
        <v>98</v>
      </c>
      <c r="N353" s="2">
        <v>42</v>
      </c>
      <c r="O353" s="2">
        <f>BaseDeDatos!$M353*BaseDeDatos!$N353</f>
        <v>4116</v>
      </c>
    </row>
    <row r="354" spans="2:15">
      <c r="B354">
        <v>352</v>
      </c>
      <c r="C354" s="1">
        <v>43958</v>
      </c>
      <c r="D354">
        <v>7896754000</v>
      </c>
      <c r="E354" t="s">
        <v>23</v>
      </c>
      <c r="F354" t="s">
        <v>86</v>
      </c>
      <c r="G354" t="s">
        <v>82</v>
      </c>
      <c r="H354" t="s">
        <v>24</v>
      </c>
      <c r="I354" t="s">
        <v>25</v>
      </c>
      <c r="J354" t="s">
        <v>17</v>
      </c>
      <c r="K354" t="s">
        <v>58</v>
      </c>
      <c r="L354" t="s">
        <v>59</v>
      </c>
      <c r="M354" s="2">
        <v>487.19999999999993</v>
      </c>
      <c r="N354" s="2">
        <v>100</v>
      </c>
      <c r="O354" s="2">
        <f>BaseDeDatos!$M354*BaseDeDatos!$N354</f>
        <v>48719.999999999993</v>
      </c>
    </row>
    <row r="355" spans="2:15">
      <c r="B355">
        <v>353</v>
      </c>
      <c r="C355" s="1">
        <v>44185</v>
      </c>
      <c r="D355">
        <v>7608023281</v>
      </c>
      <c r="E355" t="s">
        <v>32</v>
      </c>
      <c r="F355" t="s">
        <v>93</v>
      </c>
      <c r="G355" t="s">
        <v>96</v>
      </c>
      <c r="H355" t="s">
        <v>7</v>
      </c>
      <c r="I355" t="s">
        <v>8</v>
      </c>
      <c r="J355" t="s">
        <v>33</v>
      </c>
      <c r="K355" t="s">
        <v>60</v>
      </c>
      <c r="L355" t="s">
        <v>49</v>
      </c>
      <c r="M355" s="2">
        <v>140</v>
      </c>
      <c r="N355" s="2">
        <v>89</v>
      </c>
      <c r="O355" s="2">
        <f>BaseDeDatos!$M355*BaseDeDatos!$N355</f>
        <v>12460</v>
      </c>
    </row>
    <row r="356" spans="2:15">
      <c r="B356">
        <v>354</v>
      </c>
      <c r="C356" s="1">
        <v>44158</v>
      </c>
      <c r="D356">
        <v>1088259448</v>
      </c>
      <c r="E356" t="s">
        <v>32</v>
      </c>
      <c r="F356" t="s">
        <v>93</v>
      </c>
      <c r="G356" t="s">
        <v>96</v>
      </c>
      <c r="H356" t="s">
        <v>7</v>
      </c>
      <c r="I356" t="s">
        <v>8</v>
      </c>
      <c r="J356" t="s">
        <v>33</v>
      </c>
      <c r="K356" t="s">
        <v>38</v>
      </c>
      <c r="L356" t="s">
        <v>39</v>
      </c>
      <c r="M356" s="2">
        <v>560</v>
      </c>
      <c r="N356" s="2">
        <v>12</v>
      </c>
      <c r="O356" s="2">
        <f>BaseDeDatos!$M356*BaseDeDatos!$N356</f>
        <v>6720</v>
      </c>
    </row>
    <row r="357" spans="2:15">
      <c r="B357">
        <v>355</v>
      </c>
      <c r="C357" s="1">
        <v>43872</v>
      </c>
      <c r="D357">
        <v>8019968936</v>
      </c>
      <c r="E357" t="s">
        <v>42</v>
      </c>
      <c r="F357" t="s">
        <v>91</v>
      </c>
      <c r="G357" t="s">
        <v>91</v>
      </c>
      <c r="H357" t="s">
        <v>43</v>
      </c>
      <c r="I357" t="s">
        <v>8</v>
      </c>
      <c r="J357" t="s">
        <v>17</v>
      </c>
      <c r="K357" t="s">
        <v>61</v>
      </c>
      <c r="L357" t="s">
        <v>13</v>
      </c>
      <c r="M357" s="2">
        <v>140</v>
      </c>
      <c r="N357" s="2">
        <v>97</v>
      </c>
      <c r="O357" s="2">
        <f>BaseDeDatos!$M357*BaseDeDatos!$N357</f>
        <v>13580</v>
      </c>
    </row>
    <row r="358" spans="2:15">
      <c r="B358">
        <v>356</v>
      </c>
      <c r="C358" s="1">
        <v>43849</v>
      </c>
      <c r="D358">
        <v>767630917</v>
      </c>
      <c r="E358" t="s">
        <v>42</v>
      </c>
      <c r="F358" t="s">
        <v>91</v>
      </c>
      <c r="G358" t="s">
        <v>91</v>
      </c>
      <c r="H358" t="s">
        <v>43</v>
      </c>
      <c r="I358" t="s">
        <v>16</v>
      </c>
      <c r="K358" t="s">
        <v>12</v>
      </c>
      <c r="L358" t="s">
        <v>13</v>
      </c>
      <c r="M358" s="2">
        <v>49</v>
      </c>
      <c r="N358" s="2">
        <v>53</v>
      </c>
      <c r="O358" s="2">
        <f>BaseDeDatos!$M358*BaseDeDatos!$N358</f>
        <v>2597</v>
      </c>
    </row>
    <row r="359" spans="2:15">
      <c r="B359">
        <v>357</v>
      </c>
      <c r="C359" s="1">
        <v>44148</v>
      </c>
      <c r="D359">
        <v>8764802979</v>
      </c>
      <c r="E359" t="s">
        <v>50</v>
      </c>
      <c r="F359" t="s">
        <v>85</v>
      </c>
      <c r="G359" t="s">
        <v>83</v>
      </c>
      <c r="H359" t="s">
        <v>41</v>
      </c>
      <c r="I359" t="s">
        <v>25</v>
      </c>
      <c r="K359" t="s">
        <v>38</v>
      </c>
      <c r="L359" t="s">
        <v>39</v>
      </c>
      <c r="M359" s="2">
        <v>560</v>
      </c>
      <c r="N359" s="2">
        <v>61</v>
      </c>
      <c r="O359" s="2">
        <f>BaseDeDatos!$M359*BaseDeDatos!$N359</f>
        <v>34160</v>
      </c>
    </row>
    <row r="360" spans="2:15">
      <c r="B360">
        <v>358</v>
      </c>
      <c r="C360" s="1">
        <v>44136</v>
      </c>
      <c r="D360">
        <v>1212476279</v>
      </c>
      <c r="E360" t="s">
        <v>51</v>
      </c>
      <c r="F360" t="s">
        <v>90</v>
      </c>
      <c r="G360" t="s">
        <v>98</v>
      </c>
      <c r="H360" t="s">
        <v>24</v>
      </c>
      <c r="I360" t="s">
        <v>25</v>
      </c>
      <c r="K360" t="s">
        <v>52</v>
      </c>
      <c r="L360" t="s">
        <v>53</v>
      </c>
      <c r="M360" s="2">
        <v>257.59999999999997</v>
      </c>
      <c r="N360" s="2">
        <v>45</v>
      </c>
      <c r="O360" s="2">
        <f>BaseDeDatos!$M360*BaseDeDatos!$N360</f>
        <v>11591.999999999998</v>
      </c>
    </row>
    <row r="361" spans="2:15">
      <c r="B361">
        <v>359</v>
      </c>
      <c r="C361" s="1">
        <v>43990</v>
      </c>
      <c r="D361">
        <v>8659179079</v>
      </c>
      <c r="E361" t="s">
        <v>40</v>
      </c>
      <c r="F361" t="s">
        <v>97</v>
      </c>
      <c r="G361" t="s">
        <v>88</v>
      </c>
      <c r="H361" t="s">
        <v>41</v>
      </c>
      <c r="I361" t="s">
        <v>25</v>
      </c>
      <c r="J361" t="s">
        <v>17</v>
      </c>
      <c r="K361" t="s">
        <v>22</v>
      </c>
      <c r="L361" t="s">
        <v>11</v>
      </c>
      <c r="M361" s="2">
        <v>644</v>
      </c>
      <c r="N361" s="2">
        <v>43</v>
      </c>
      <c r="O361" s="2">
        <f>BaseDeDatos!$M361*BaseDeDatos!$N361</f>
        <v>27692</v>
      </c>
    </row>
    <row r="362" spans="2:15">
      <c r="B362">
        <v>360</v>
      </c>
      <c r="C362" s="1">
        <v>43938</v>
      </c>
      <c r="D362">
        <v>4311827425</v>
      </c>
      <c r="E362" t="s">
        <v>54</v>
      </c>
      <c r="F362" t="s">
        <v>89</v>
      </c>
      <c r="G362" t="s">
        <v>84</v>
      </c>
      <c r="H362" t="s">
        <v>55</v>
      </c>
      <c r="I362" t="s">
        <v>16</v>
      </c>
      <c r="J362" t="s">
        <v>9</v>
      </c>
      <c r="K362" t="s">
        <v>34</v>
      </c>
      <c r="L362" t="s">
        <v>35</v>
      </c>
      <c r="M362" s="2">
        <v>135.1</v>
      </c>
      <c r="N362" s="2">
        <v>18</v>
      </c>
      <c r="O362" s="2">
        <f>BaseDeDatos!$M362*BaseDeDatos!$N362</f>
        <v>2431.7999999999997</v>
      </c>
    </row>
    <row r="363" spans="2:15">
      <c r="B363">
        <v>361</v>
      </c>
      <c r="C363" s="1">
        <v>44010</v>
      </c>
      <c r="D363">
        <v>7400116244</v>
      </c>
      <c r="E363" t="s">
        <v>36</v>
      </c>
      <c r="F363" t="s">
        <v>92</v>
      </c>
      <c r="G363" t="s">
        <v>99</v>
      </c>
      <c r="H363" t="s">
        <v>37</v>
      </c>
      <c r="I363" t="s">
        <v>8</v>
      </c>
      <c r="J363" t="s">
        <v>17</v>
      </c>
      <c r="K363" t="s">
        <v>30</v>
      </c>
      <c r="L363" t="s">
        <v>31</v>
      </c>
      <c r="M363" s="2">
        <v>178.5</v>
      </c>
      <c r="N363" s="2">
        <v>41</v>
      </c>
      <c r="O363" s="2">
        <f>BaseDeDatos!$M363*BaseDeDatos!$N363</f>
        <v>7318.5</v>
      </c>
    </row>
    <row r="364" spans="2:15">
      <c r="B364">
        <v>362</v>
      </c>
      <c r="C364" s="1">
        <v>43946</v>
      </c>
      <c r="D364">
        <v>8550780121</v>
      </c>
      <c r="E364" t="s">
        <v>23</v>
      </c>
      <c r="F364" t="s">
        <v>86</v>
      </c>
      <c r="G364" t="s">
        <v>82</v>
      </c>
      <c r="H364" t="s">
        <v>24</v>
      </c>
      <c r="I364" t="s">
        <v>8</v>
      </c>
      <c r="J364" t="s">
        <v>9</v>
      </c>
      <c r="K364" t="s">
        <v>30</v>
      </c>
      <c r="L364" t="s">
        <v>31</v>
      </c>
      <c r="M364" s="2">
        <v>178.5</v>
      </c>
      <c r="N364" s="2">
        <v>19</v>
      </c>
      <c r="O364" s="2">
        <f>BaseDeDatos!$M364*BaseDeDatos!$N364</f>
        <v>3391.5</v>
      </c>
    </row>
    <row r="365" spans="2:15">
      <c r="B365">
        <v>363</v>
      </c>
      <c r="C365" s="1">
        <v>44042</v>
      </c>
      <c r="D365">
        <v>9461451917</v>
      </c>
      <c r="E365" t="s">
        <v>62</v>
      </c>
      <c r="F365" t="s">
        <v>91</v>
      </c>
      <c r="G365" t="s">
        <v>91</v>
      </c>
      <c r="H365" t="s">
        <v>43</v>
      </c>
      <c r="I365" t="s">
        <v>16</v>
      </c>
      <c r="J365" t="s">
        <v>33</v>
      </c>
      <c r="K365" t="s">
        <v>48</v>
      </c>
      <c r="L365" t="s">
        <v>49</v>
      </c>
      <c r="M365" s="2">
        <v>308</v>
      </c>
      <c r="N365" s="2">
        <v>65</v>
      </c>
      <c r="O365" s="2">
        <f>BaseDeDatos!$M365*BaseDeDatos!$N365</f>
        <v>20020</v>
      </c>
    </row>
    <row r="366" spans="2:15">
      <c r="B366">
        <v>364</v>
      </c>
      <c r="C366" s="1">
        <v>44026</v>
      </c>
      <c r="D366">
        <v>3160888933</v>
      </c>
      <c r="E366" t="s">
        <v>63</v>
      </c>
      <c r="F366" t="s">
        <v>85</v>
      </c>
      <c r="G366" t="s">
        <v>83</v>
      </c>
      <c r="H366" t="s">
        <v>41</v>
      </c>
      <c r="I366" t="s">
        <v>25</v>
      </c>
      <c r="J366" t="s">
        <v>17</v>
      </c>
      <c r="K366" t="s">
        <v>46</v>
      </c>
      <c r="L366" t="s">
        <v>47</v>
      </c>
      <c r="M366" s="2">
        <v>350</v>
      </c>
      <c r="N366" s="2">
        <v>13</v>
      </c>
      <c r="O366" s="2">
        <f>BaseDeDatos!$M366*BaseDeDatos!$N366</f>
        <v>4550</v>
      </c>
    </row>
    <row r="367" spans="2:15">
      <c r="B367">
        <v>365</v>
      </c>
      <c r="C367" s="1">
        <v>44046</v>
      </c>
      <c r="D367">
        <v>6433254443</v>
      </c>
      <c r="E367" t="s">
        <v>28</v>
      </c>
      <c r="F367" t="s">
        <v>89</v>
      </c>
      <c r="G367" t="s">
        <v>84</v>
      </c>
      <c r="H367" t="s">
        <v>29</v>
      </c>
      <c r="I367" t="s">
        <v>8</v>
      </c>
      <c r="J367" t="s">
        <v>9</v>
      </c>
      <c r="K367" t="s">
        <v>64</v>
      </c>
      <c r="L367" t="s">
        <v>65</v>
      </c>
      <c r="M367" s="2">
        <v>546</v>
      </c>
      <c r="N367" s="2">
        <v>54</v>
      </c>
      <c r="O367" s="2">
        <f>BaseDeDatos!$M367*BaseDeDatos!$N367</f>
        <v>29484</v>
      </c>
    </row>
    <row r="368" spans="2:15">
      <c r="B368">
        <v>366</v>
      </c>
      <c r="C368" s="1">
        <v>43986</v>
      </c>
      <c r="D368">
        <v>8977261174</v>
      </c>
      <c r="E368" t="s">
        <v>36</v>
      </c>
      <c r="F368" t="s">
        <v>92</v>
      </c>
      <c r="G368" t="s">
        <v>99</v>
      </c>
      <c r="H368" t="s">
        <v>37</v>
      </c>
      <c r="I368" t="s">
        <v>25</v>
      </c>
      <c r="J368" t="s">
        <v>9</v>
      </c>
      <c r="K368" t="s">
        <v>18</v>
      </c>
      <c r="L368" t="s">
        <v>13</v>
      </c>
      <c r="M368" s="2">
        <v>420</v>
      </c>
      <c r="N368" s="2">
        <v>33</v>
      </c>
      <c r="O368" s="2">
        <f>BaseDeDatos!$M368*BaseDeDatos!$N368</f>
        <v>13860</v>
      </c>
    </row>
    <row r="369" spans="2:15">
      <c r="B369">
        <v>367</v>
      </c>
      <c r="C369" s="1">
        <v>43939</v>
      </c>
      <c r="D369">
        <v>7770716054</v>
      </c>
      <c r="E369" t="s">
        <v>36</v>
      </c>
      <c r="F369" t="s">
        <v>92</v>
      </c>
      <c r="G369" t="s">
        <v>99</v>
      </c>
      <c r="H369" t="s">
        <v>37</v>
      </c>
      <c r="I369" t="s">
        <v>25</v>
      </c>
      <c r="J369" t="s">
        <v>9</v>
      </c>
      <c r="K369" t="s">
        <v>19</v>
      </c>
      <c r="L369" t="s">
        <v>13</v>
      </c>
      <c r="M369" s="2">
        <v>742</v>
      </c>
      <c r="N369" s="2">
        <v>34</v>
      </c>
      <c r="O369" s="2">
        <f>BaseDeDatos!$M369*BaseDeDatos!$N369</f>
        <v>25228</v>
      </c>
    </row>
    <row r="370" spans="2:15">
      <c r="B370">
        <v>368</v>
      </c>
      <c r="C370" s="1">
        <v>44179</v>
      </c>
      <c r="D370">
        <v>2754807386</v>
      </c>
      <c r="E370" t="s">
        <v>14</v>
      </c>
      <c r="F370" t="s">
        <v>81</v>
      </c>
      <c r="G370" t="s">
        <v>94</v>
      </c>
      <c r="H370" t="s">
        <v>15</v>
      </c>
      <c r="K370" t="s">
        <v>66</v>
      </c>
      <c r="L370" t="s">
        <v>57</v>
      </c>
      <c r="M370" s="2">
        <v>532</v>
      </c>
      <c r="N370" s="2">
        <v>59</v>
      </c>
      <c r="O370" s="2">
        <f>BaseDeDatos!$M370*BaseDeDatos!$N370</f>
        <v>31388</v>
      </c>
    </row>
    <row r="371" spans="2:15">
      <c r="B371">
        <v>369</v>
      </c>
      <c r="C371" s="1">
        <v>43987</v>
      </c>
      <c r="D371">
        <v>3873424489</v>
      </c>
      <c r="E371" t="s">
        <v>32</v>
      </c>
      <c r="F371" t="s">
        <v>93</v>
      </c>
      <c r="G371" t="s">
        <v>96</v>
      </c>
      <c r="H371" t="s">
        <v>7</v>
      </c>
      <c r="K371" t="s">
        <v>44</v>
      </c>
      <c r="L371" t="s">
        <v>11</v>
      </c>
      <c r="M371" s="2">
        <v>41.86</v>
      </c>
      <c r="N371" s="2">
        <v>24</v>
      </c>
      <c r="O371" s="2">
        <f>BaseDeDatos!$M371*BaseDeDatos!$N371</f>
        <v>1004.64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D23C-858F-4B06-8F0D-A1773EE9E17C}">
  <dimension ref="A1:E70"/>
  <sheetViews>
    <sheetView topLeftCell="A34" zoomScale="70" zoomScaleNormal="70" workbookViewId="0">
      <selection activeCell="A45" sqref="A45:B53"/>
    </sheetView>
  </sheetViews>
  <sheetFormatPr baseColWidth="10" defaultRowHeight="14.4"/>
  <cols>
    <col min="1" max="1" width="18" bestFit="1" customWidth="1"/>
    <col min="2" max="2" width="15" bestFit="1" customWidth="1"/>
  </cols>
  <sheetData>
    <row r="1" spans="1:2">
      <c r="A1" s="6" t="s">
        <v>101</v>
      </c>
      <c r="B1" t="s">
        <v>107</v>
      </c>
    </row>
    <row r="2" spans="1:2">
      <c r="A2" s="7" t="s">
        <v>103</v>
      </c>
      <c r="B2" s="14">
        <v>65408</v>
      </c>
    </row>
    <row r="3" spans="1:2">
      <c r="A3" s="7" t="s">
        <v>102</v>
      </c>
      <c r="B3" s="14">
        <v>65408</v>
      </c>
    </row>
    <row r="16" spans="1:2">
      <c r="A16" s="6" t="s">
        <v>101</v>
      </c>
      <c r="B16" t="s">
        <v>112</v>
      </c>
    </row>
    <row r="17" spans="1:2">
      <c r="A17" s="7" t="s">
        <v>29</v>
      </c>
      <c r="B17" s="14">
        <v>2</v>
      </c>
    </row>
    <row r="18" spans="1:2">
      <c r="A18" s="7" t="s">
        <v>37</v>
      </c>
      <c r="B18" s="14">
        <v>1</v>
      </c>
    </row>
    <row r="19" spans="1:2">
      <c r="A19" s="7" t="s">
        <v>24</v>
      </c>
      <c r="B19" s="14">
        <v>1</v>
      </c>
    </row>
    <row r="20" spans="1:2">
      <c r="A20" s="7" t="s">
        <v>102</v>
      </c>
      <c r="B20" s="14">
        <v>4</v>
      </c>
    </row>
    <row r="27" spans="1:2">
      <c r="A27" s="6" t="s">
        <v>101</v>
      </c>
      <c r="B27" t="s">
        <v>107</v>
      </c>
    </row>
    <row r="28" spans="1:2">
      <c r="A28" s="7" t="s">
        <v>11</v>
      </c>
      <c r="B28" s="14">
        <v>65408</v>
      </c>
    </row>
    <row r="29" spans="1:2">
      <c r="A29" s="7" t="s">
        <v>102</v>
      </c>
      <c r="B29" s="14">
        <v>65408</v>
      </c>
    </row>
    <row r="45" spans="1:2">
      <c r="A45" s="6" t="s">
        <v>101</v>
      </c>
      <c r="B45" t="s">
        <v>107</v>
      </c>
    </row>
    <row r="46" spans="1:2">
      <c r="A46" s="7" t="s">
        <v>105</v>
      </c>
      <c r="B46" s="14">
        <v>25480</v>
      </c>
    </row>
    <row r="47" spans="1:2">
      <c r="A47" s="7" t="s">
        <v>106</v>
      </c>
      <c r="B47" s="14">
        <v>39928</v>
      </c>
    </row>
    <row r="48" spans="1:2">
      <c r="A48" s="7" t="s">
        <v>102</v>
      </c>
      <c r="B48" s="14">
        <v>65408</v>
      </c>
    </row>
    <row r="59" spans="1:5">
      <c r="A59" s="6" t="s">
        <v>101</v>
      </c>
      <c r="B59" t="s">
        <v>107</v>
      </c>
      <c r="D59" t="s">
        <v>113</v>
      </c>
      <c r="E59" t="s">
        <v>114</v>
      </c>
    </row>
    <row r="60" spans="1:5">
      <c r="A60" s="7" t="s">
        <v>87</v>
      </c>
      <c r="B60" s="14">
        <v>39928</v>
      </c>
      <c r="D60" s="7" t="s">
        <v>95</v>
      </c>
      <c r="E60" s="14">
        <f>B60</f>
        <v>39928</v>
      </c>
    </row>
    <row r="61" spans="1:5">
      <c r="A61" s="7" t="s">
        <v>84</v>
      </c>
      <c r="B61" s="14">
        <v>12348</v>
      </c>
      <c r="D61" s="7" t="s">
        <v>94</v>
      </c>
      <c r="E61" s="14">
        <f>B61</f>
        <v>12348</v>
      </c>
    </row>
    <row r="62" spans="1:5">
      <c r="A62" s="7" t="s">
        <v>99</v>
      </c>
      <c r="B62" s="14">
        <v>13132</v>
      </c>
      <c r="D62" s="7" t="s">
        <v>82</v>
      </c>
      <c r="E62" s="14">
        <f t="shared" ref="E62:E70" si="0">B62</f>
        <v>13132</v>
      </c>
    </row>
    <row r="63" spans="1:5">
      <c r="A63" s="7" t="s">
        <v>102</v>
      </c>
      <c r="B63" s="14">
        <v>65408</v>
      </c>
      <c r="D63" s="7" t="s">
        <v>96</v>
      </c>
      <c r="E63" s="14">
        <f t="shared" si="0"/>
        <v>65408</v>
      </c>
    </row>
    <row r="64" spans="1:5">
      <c r="D64" s="7" t="s">
        <v>91</v>
      </c>
      <c r="E64" s="14">
        <f t="shared" si="0"/>
        <v>0</v>
      </c>
    </row>
    <row r="65" spans="4:5">
      <c r="D65" s="7" t="s">
        <v>87</v>
      </c>
      <c r="E65" s="14">
        <f t="shared" si="0"/>
        <v>0</v>
      </c>
    </row>
    <row r="66" spans="4:5">
      <c r="D66" s="7" t="s">
        <v>84</v>
      </c>
      <c r="E66" s="14">
        <f t="shared" si="0"/>
        <v>0</v>
      </c>
    </row>
    <row r="67" spans="4:5">
      <c r="D67" s="7" t="s">
        <v>99</v>
      </c>
      <c r="E67" s="14">
        <f t="shared" si="0"/>
        <v>0</v>
      </c>
    </row>
    <row r="68" spans="4:5">
      <c r="D68" s="7" t="s">
        <v>88</v>
      </c>
      <c r="E68" s="14">
        <f t="shared" si="0"/>
        <v>0</v>
      </c>
    </row>
    <row r="69" spans="4:5">
      <c r="D69" s="7" t="s">
        <v>83</v>
      </c>
      <c r="E69" s="14">
        <f t="shared" si="0"/>
        <v>0</v>
      </c>
    </row>
    <row r="70" spans="4:5">
      <c r="D70" s="7" t="s">
        <v>98</v>
      </c>
      <c r="E70" s="14">
        <f t="shared" si="0"/>
        <v>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30C2-2E67-4E0E-ACDE-16621BF9799E}">
  <dimension ref="F1:L2"/>
  <sheetViews>
    <sheetView showGridLines="0" tabSelected="1" topLeftCell="A22" zoomScale="55" zoomScaleNormal="55" workbookViewId="0">
      <selection activeCell="W53" sqref="W53"/>
    </sheetView>
  </sheetViews>
  <sheetFormatPr baseColWidth="10" defaultRowHeight="14.4"/>
  <cols>
    <col min="1" max="16384" width="11.5546875" style="15"/>
  </cols>
  <sheetData>
    <row r="1" spans="6:12" ht="21">
      <c r="F1" s="18"/>
      <c r="G1" s="17"/>
      <c r="H1" s="16" t="s">
        <v>109</v>
      </c>
      <c r="I1" s="16"/>
      <c r="J1" s="16"/>
      <c r="K1" s="18"/>
      <c r="L1" s="18"/>
    </row>
    <row r="2" spans="6:12">
      <c r="G2" s="19" t="s">
        <v>115</v>
      </c>
      <c r="H2" s="20"/>
      <c r="I2" s="20"/>
      <c r="J2" s="20"/>
      <c r="K2" s="20"/>
    </row>
  </sheetData>
  <mergeCells count="2">
    <mergeCell ref="H1:J1"/>
    <mergeCell ref="G2:K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8D01-7507-4636-A29A-D33CA450E01A}">
  <dimension ref="A1:E69"/>
  <sheetViews>
    <sheetView topLeftCell="A45" workbookViewId="0">
      <selection activeCell="A59" sqref="A59:B69"/>
    </sheetView>
  </sheetViews>
  <sheetFormatPr baseColWidth="10" defaultRowHeight="14.4"/>
  <cols>
    <col min="1" max="1" width="16.5546875" bestFit="1" customWidth="1"/>
    <col min="2" max="2" width="14.5546875" bestFit="1" customWidth="1"/>
  </cols>
  <sheetData>
    <row r="1" spans="1:2">
      <c r="A1" s="6" t="s">
        <v>101</v>
      </c>
      <c r="B1" t="s">
        <v>107</v>
      </c>
    </row>
    <row r="2" spans="1:2">
      <c r="A2" s="7" t="s">
        <v>103</v>
      </c>
      <c r="B2" s="14">
        <v>150262.9</v>
      </c>
    </row>
    <row r="3" spans="1:2">
      <c r="A3" s="7" t="s">
        <v>102</v>
      </c>
      <c r="B3" s="14">
        <v>150262.9</v>
      </c>
    </row>
    <row r="16" spans="1:2">
      <c r="A16" s="6" t="s">
        <v>101</v>
      </c>
      <c r="B16" t="s">
        <v>107</v>
      </c>
    </row>
    <row r="17" spans="1:2">
      <c r="A17" s="7" t="s">
        <v>29</v>
      </c>
      <c r="B17" s="14">
        <v>21685.5</v>
      </c>
    </row>
    <row r="18" spans="1:2">
      <c r="A18" s="7" t="s">
        <v>43</v>
      </c>
      <c r="B18" s="14">
        <v>39894.400000000001</v>
      </c>
    </row>
    <row r="19" spans="1:2">
      <c r="A19" s="7" t="s">
        <v>37</v>
      </c>
      <c r="B19" s="14">
        <v>25004</v>
      </c>
    </row>
    <row r="20" spans="1:2">
      <c r="A20" s="7" t="s">
        <v>24</v>
      </c>
      <c r="B20" s="14">
        <v>39928</v>
      </c>
    </row>
    <row r="21" spans="1:2">
      <c r="A21" s="7" t="s">
        <v>55</v>
      </c>
      <c r="B21" s="14">
        <v>23751</v>
      </c>
    </row>
    <row r="22" spans="1:2">
      <c r="A22" s="7" t="s">
        <v>102</v>
      </c>
      <c r="B22" s="14">
        <v>150262.9</v>
      </c>
    </row>
    <row r="28" spans="1:2">
      <c r="A28" s="6" t="s">
        <v>101</v>
      </c>
      <c r="B28" t="s">
        <v>107</v>
      </c>
    </row>
    <row r="29" spans="1:2">
      <c r="A29" s="7" t="s">
        <v>11</v>
      </c>
      <c r="B29" s="14">
        <v>65408</v>
      </c>
    </row>
    <row r="30" spans="1:2">
      <c r="A30" s="7" t="s">
        <v>49</v>
      </c>
      <c r="B30" s="14">
        <v>24640</v>
      </c>
    </row>
    <row r="31" spans="1:2">
      <c r="A31" s="7" t="s">
        <v>31</v>
      </c>
      <c r="B31" s="14">
        <v>9337.5</v>
      </c>
    </row>
    <row r="32" spans="1:2">
      <c r="A32" s="7" t="s">
        <v>13</v>
      </c>
      <c r="B32" s="14">
        <v>25452</v>
      </c>
    </row>
    <row r="33" spans="1:2">
      <c r="A33" s="7" t="s">
        <v>57</v>
      </c>
      <c r="B33" s="14">
        <v>23751</v>
      </c>
    </row>
    <row r="34" spans="1:2">
      <c r="A34" s="7" t="s">
        <v>27</v>
      </c>
      <c r="B34" s="14">
        <v>1674.3999999999999</v>
      </c>
    </row>
    <row r="35" spans="1:2">
      <c r="A35" s="7" t="s">
        <v>5</v>
      </c>
      <c r="B35" s="14"/>
    </row>
    <row r="36" spans="1:2">
      <c r="A36" s="7" t="s">
        <v>102</v>
      </c>
      <c r="B36" s="14">
        <v>150262.9</v>
      </c>
    </row>
    <row r="46" spans="1:2">
      <c r="A46" s="6" t="s">
        <v>101</v>
      </c>
      <c r="B46" t="s">
        <v>107</v>
      </c>
    </row>
    <row r="47" spans="1:2">
      <c r="A47" s="7" t="s">
        <v>111</v>
      </c>
      <c r="B47" s="14"/>
    </row>
    <row r="48" spans="1:2">
      <c r="A48" s="7" t="s">
        <v>105</v>
      </c>
      <c r="B48" s="14">
        <v>61943.9</v>
      </c>
    </row>
    <row r="49" spans="1:5">
      <c r="A49" s="7" t="s">
        <v>106</v>
      </c>
      <c r="B49" s="14">
        <v>88319</v>
      </c>
    </row>
    <row r="50" spans="1:5">
      <c r="A50" s="7" t="s">
        <v>102</v>
      </c>
      <c r="B50" s="14">
        <v>150262.9</v>
      </c>
    </row>
    <row r="58" spans="1:5">
      <c r="A58" s="6" t="s">
        <v>101</v>
      </c>
      <c r="B58" t="s">
        <v>107</v>
      </c>
      <c r="D58" t="s">
        <v>108</v>
      </c>
      <c r="E58" t="s">
        <v>104</v>
      </c>
    </row>
    <row r="59" spans="1:5">
      <c r="A59" s="7" t="s">
        <v>91</v>
      </c>
      <c r="B59" s="14">
        <v>39894.400000000001</v>
      </c>
      <c r="D59" s="7" t="s">
        <v>95</v>
      </c>
      <c r="E59" t="e">
        <f>GETPIVOTDATA("Ventas",$A$58,"Provincia","Azuay")</f>
        <v>#REF!</v>
      </c>
    </row>
    <row r="60" spans="1:5">
      <c r="A60" s="7" t="s">
        <v>87</v>
      </c>
      <c r="B60" s="14">
        <v>39928</v>
      </c>
      <c r="D60" s="7" t="s">
        <v>94</v>
      </c>
      <c r="E60" t="e">
        <f>GETPIVOTDATA("Ventas",$A$58,"Provincia","Canar")</f>
        <v>#REF!</v>
      </c>
    </row>
    <row r="61" spans="1:5">
      <c r="A61" s="7" t="s">
        <v>84</v>
      </c>
      <c r="B61" s="14">
        <v>45436.5</v>
      </c>
      <c r="D61" s="7" t="s">
        <v>82</v>
      </c>
      <c r="E61" t="e">
        <f>GETPIVOTDATA("Ventas",$A$58,"Provincia","Chimborazo")</f>
        <v>#REF!</v>
      </c>
    </row>
    <row r="62" spans="1:5">
      <c r="A62" s="7" t="s">
        <v>99</v>
      </c>
      <c r="B62" s="14">
        <v>25004</v>
      </c>
      <c r="D62" s="7" t="s">
        <v>96</v>
      </c>
      <c r="E62" t="e">
        <f>GETPIVOTDATA("Ventas",$A$58,"Provincia","El Oro")</f>
        <v>#REF!</v>
      </c>
    </row>
    <row r="63" spans="1:5">
      <c r="A63" s="7" t="s">
        <v>102</v>
      </c>
      <c r="B63" s="14">
        <v>150262.9</v>
      </c>
      <c r="D63" s="7" t="s">
        <v>91</v>
      </c>
      <c r="E63">
        <f>GETPIVOTDATA("Ventas",$A$58,"Provincia","Esmeraldas")</f>
        <v>39894.400000000001</v>
      </c>
    </row>
    <row r="64" spans="1:5">
      <c r="D64" s="7" t="s">
        <v>87</v>
      </c>
      <c r="E64">
        <f>GETPIVOTDATA("Ventas",$A$58,"Provincia","Guaranda")</f>
        <v>39928</v>
      </c>
    </row>
    <row r="65" spans="4:5">
      <c r="D65" s="7" t="s">
        <v>84</v>
      </c>
      <c r="E65">
        <f>GETPIVOTDATA("Ventas",$A$58,"Provincia","Guayas")</f>
        <v>45436.5</v>
      </c>
    </row>
    <row r="66" spans="4:5">
      <c r="D66" s="7" t="s">
        <v>99</v>
      </c>
      <c r="E66">
        <f>GETPIVOTDATA("Ventas",$A$58,"Provincia","Imbabura")</f>
        <v>25004</v>
      </c>
    </row>
    <row r="67" spans="4:5">
      <c r="D67" s="7" t="s">
        <v>88</v>
      </c>
      <c r="E67" t="e">
        <f>GETPIVOTDATA("Ventas",$A$58,"Provincia","Manabi")</f>
        <v>#REF!</v>
      </c>
    </row>
    <row r="68" spans="4:5">
      <c r="D68" s="7" t="s">
        <v>83</v>
      </c>
      <c r="E68" t="e">
        <f>GETPIVOTDATA("Ventas",$A$58,"Provincia","Pichincha")</f>
        <v>#REF!</v>
      </c>
    </row>
    <row r="69" spans="4:5">
      <c r="D69" s="7" t="s">
        <v>98</v>
      </c>
      <c r="E69" t="e">
        <f>GETPIVOTDATA("Ventas",$A$58,"Provincia","Tungurahua")</f>
        <v>#REF!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6F84-EE5B-4C9D-9B55-0DB55519D5B7}">
  <dimension ref="G1:L4"/>
  <sheetViews>
    <sheetView showGridLines="0" topLeftCell="A34" zoomScale="110" zoomScaleNormal="110" workbookViewId="0">
      <selection activeCell="V23" sqref="V23"/>
    </sheetView>
  </sheetViews>
  <sheetFormatPr baseColWidth="10" defaultColWidth="11" defaultRowHeight="14.4"/>
  <cols>
    <col min="1" max="16384" width="11" style="8"/>
  </cols>
  <sheetData>
    <row r="1" spans="7:12">
      <c r="H1" s="10" t="s">
        <v>109</v>
      </c>
      <c r="I1" s="10"/>
      <c r="J1" s="10"/>
      <c r="K1" s="10"/>
    </row>
    <row r="2" spans="7:12">
      <c r="G2" s="9"/>
      <c r="H2" s="11"/>
      <c r="I2" s="11"/>
      <c r="J2" s="11"/>
      <c r="K2" s="11"/>
      <c r="L2" s="9"/>
    </row>
    <row r="3" spans="7:12">
      <c r="H3" s="12" t="s">
        <v>110</v>
      </c>
      <c r="I3" s="12"/>
      <c r="J3" s="12"/>
      <c r="K3" s="12"/>
    </row>
    <row r="4" spans="7:12">
      <c r="H4" s="13"/>
      <c r="I4" s="13"/>
      <c r="J4" s="13"/>
      <c r="K4" s="13"/>
    </row>
  </sheetData>
  <mergeCells count="2">
    <mergeCell ref="H1:K2"/>
    <mergeCell ref="H3:K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BaseDeDatos</vt:lpstr>
      <vt:lpstr>grf</vt:lpstr>
      <vt:lpstr>dash</vt:lpstr>
      <vt:lpstr>Graficos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Maria G Urzagaste</cp:lastModifiedBy>
  <dcterms:created xsi:type="dcterms:W3CDTF">2021-06-10T14:59:28Z</dcterms:created>
  <dcterms:modified xsi:type="dcterms:W3CDTF">2025-11-30T19:23:04Z</dcterms:modified>
</cp:coreProperties>
</file>